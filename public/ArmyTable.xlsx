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BussinessGame\AAAGameData\DataTables\"/>
    </mc:Choice>
  </mc:AlternateContent>
  <xr:revisionPtr revIDLastSave="0" documentId="13_ncr:1_{2AEB425B-2056-4777-AC36-4EDF0D23952E}" xr6:coauthVersionLast="47" xr6:coauthVersionMax="47" xr10:uidLastSave="{00000000-0000-0000-0000-000000000000}"/>
  <bookViews>
    <workbookView xWindow="360" yWindow="2055" windowWidth="28830" windowHeight="13380" xr2:uid="{00000000-000D-0000-FFFF-FFFF00000000}"/>
  </bookViews>
  <sheets>
    <sheet name="Army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1" i="1" l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Ano</author>
  </authors>
  <commentList>
    <comment ref="T2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0为近战
1为射手
2为箭塔</t>
        </r>
      </text>
    </comment>
    <comment ref="U2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1.种族1物理
2.种族2火
3.种族3冰
4.种族4雷
5.种族5</t>
        </r>
      </text>
    </comment>
    <comment ref="D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Ano:</t>
        </r>
        <r>
          <rPr>
            <sz val="9"/>
            <rFont val="宋体"/>
            <family val="3"/>
            <charset val="134"/>
          </rPr>
          <t xml:space="preserve">
0我方小兵
1我方英雄
2我方召唤单位
11敌人
14敌人召唤单位
21世界BOSS</t>
        </r>
      </text>
    </comment>
    <comment ref="O4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Admin:
格式为[[类型，类型编号，类型数值]]
类型分为两种,
1为全局属性
11为兵种属性</t>
        </r>
      </text>
    </comment>
    <comment ref="Q4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攻击范围最好根据碰撞半径设定，一个单位距离是Raduis * 100;</t>
        </r>
      </text>
    </comment>
    <comment ref="S4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格式为[a,b]，其中a为优先目标，1代表优先远程，100代表优先城堡；b是对应警戒范围</t>
        </r>
      </text>
    </comment>
    <comment ref="V4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1.输出
2.肉盾
3.幸运
4.群体
5.冲锋
6.空军
7.可对空</t>
        </r>
      </text>
    </comment>
    <comment ref="AG4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单位近战、远程、物理、火、冰、雷远程伤害抗性</t>
        </r>
      </text>
    </comment>
  </commentList>
</comments>
</file>

<file path=xl/sharedStrings.xml><?xml version="1.0" encoding="utf-8"?>
<sst xmlns="http://schemas.openxmlformats.org/spreadsheetml/2006/main" count="1812" uniqueCount="683">
  <si>
    <t>#</t>
  </si>
  <si>
    <t>兵种表</t>
  </si>
  <si>
    <t>Id</t>
  </si>
  <si>
    <t>Note</t>
  </si>
  <si>
    <t>ArmyTag</t>
  </si>
  <si>
    <t>Cost</t>
  </si>
  <si>
    <t>SpawnRates</t>
  </si>
  <si>
    <t>ArenaCount</t>
  </si>
  <si>
    <t>Hp</t>
  </si>
  <si>
    <t>Attack</t>
  </si>
  <si>
    <t>HpFake</t>
  </si>
  <si>
    <t>AttackFake</t>
  </si>
  <si>
    <t>AttackFreq</t>
  </si>
  <si>
    <t>HPGrow</t>
  </si>
  <si>
    <t>AttackGrow</t>
  </si>
  <si>
    <t>UnlockSkillOrigin</t>
  </si>
  <si>
    <t>Speed</t>
  </si>
  <si>
    <t>AttackRange</t>
  </si>
  <si>
    <t>FindRange</t>
  </si>
  <si>
    <t>Aim</t>
  </si>
  <si>
    <t>Style</t>
  </si>
  <si>
    <t>Race</t>
  </si>
  <si>
    <t>FeaturesOther</t>
  </si>
  <si>
    <t>MaxRow</t>
  </si>
  <si>
    <t>Bullet</t>
  </si>
  <si>
    <t>Icon</t>
  </si>
  <si>
    <t>Prefab</t>
  </si>
  <si>
    <t>Name</t>
  </si>
  <si>
    <t>Description</t>
  </si>
  <si>
    <t>DieSfx</t>
  </si>
  <si>
    <t>RecruitingSfx</t>
  </si>
  <si>
    <t>Skill0Sfx</t>
  </si>
  <si>
    <t>Skill1Sfx</t>
  </si>
  <si>
    <t>Resistance</t>
  </si>
  <si>
    <t>BuffResistance</t>
  </si>
  <si>
    <t>FatherHpRate</t>
  </si>
  <si>
    <t>FatherAttackRate</t>
  </si>
  <si>
    <t>Stability</t>
  </si>
  <si>
    <t>int</t>
  </si>
  <si>
    <t>string</t>
  </si>
  <si>
    <t>float</t>
  </si>
  <si>
    <t>Id【KEY】</t>
  </si>
  <si>
    <t>注释,给策划看</t>
  </si>
  <si>
    <t>敌我及大类识别</t>
  </si>
  <si>
    <t>难度单价</t>
  </si>
  <si>
    <t>刷新频率</t>
  </si>
  <si>
    <t>统计血量时一个算几个</t>
  </si>
  <si>
    <t>基础生命</t>
  </si>
  <si>
    <t>基础攻击</t>
  </si>
  <si>
    <t>虚假生命减值</t>
  </si>
  <si>
    <t>虚假攻击减值</t>
  </si>
  <si>
    <t>攻击1次所需时间</t>
  </si>
  <si>
    <t>每级生命增加</t>
  </si>
  <si>
    <t>每级攻击增加</t>
  </si>
  <si>
    <t>初始效果</t>
  </si>
  <si>
    <t>移动速度</t>
  </si>
  <si>
    <t>攻击范围</t>
  </si>
  <si>
    <t>警戒范围</t>
  </si>
  <si>
    <t>优先目标</t>
  </si>
  <si>
    <t>兵种类型</t>
  </si>
  <si>
    <t>种族</t>
  </si>
  <si>
    <t>其他特性</t>
  </si>
  <si>
    <t>一列最多数量</t>
  </si>
  <si>
    <t>子弹</t>
  </si>
  <si>
    <t>图标</t>
  </si>
  <si>
    <t>预制资源</t>
  </si>
  <si>
    <t>名称</t>
  </si>
  <si>
    <t>描述</t>
  </si>
  <si>
    <t>死亡音效</t>
  </si>
  <si>
    <t>征召音效</t>
  </si>
  <si>
    <t>技能0音效</t>
  </si>
  <si>
    <t>技能1音效</t>
  </si>
  <si>
    <t>伤害抗性</t>
  </si>
  <si>
    <t>buff抗性</t>
  </si>
  <si>
    <t>占父怪生命比</t>
  </si>
  <si>
    <t>占父怪攻击比</t>
  </si>
  <si>
    <t>击飞击退稳定值</t>
  </si>
  <si>
    <t>[[2,10],[20,15],[40,20],[60,25],[80,30],[100,35],[120,40],[140,45],[160,50],[180,55],[200,60]]</t>
  </si>
  <si>
    <t>[[2,2],[20,3],[40,4],[60,5],[80,6],[100,7],[120,8],[140,9],[160,10],[180,11],[200,12]]</t>
  </si>
  <si>
    <t>[2]</t>
  </si>
  <si>
    <t>m1001</t>
  </si>
  <si>
    <t>Arm1001</t>
  </si>
  <si>
    <t>armyName.1001</t>
  </si>
  <si>
    <t>armyDescription.1001</t>
  </si>
  <si>
    <t>[101,102,103,104,105,106,107,108,109]</t>
  </si>
  <si>
    <t>[1002]</t>
  </si>
  <si>
    <t>[21,22,23,24,25,26,27,28]</t>
  </si>
  <si>
    <t>[-1]</t>
  </si>
  <si>
    <t>[0.1,0.1,0,0,0,0]</t>
  </si>
  <si>
    <t>[0,0,0,0]</t>
  </si>
  <si>
    <t>剑士2</t>
  </si>
  <si>
    <t>剑士3</t>
  </si>
  <si>
    <t>剑士4</t>
  </si>
  <si>
    <t>剑士5</t>
  </si>
  <si>
    <t>女猎手</t>
  </si>
  <si>
    <t>[[2,66],[20,99],[40,132],[60,165],[80,198],[100,231],[120,264],[140,297],[160,330],[180,363],[200,396]]</t>
  </si>
  <si>
    <t>[[2,7],[20,10],[40,14],[60,17],[80,21],[100,24],[120,27],[140,31],[160,34],[180,38],[200,41]]</t>
  </si>
  <si>
    <t>[[11,1111,2]]</t>
  </si>
  <si>
    <t>[1,2]</t>
  </si>
  <si>
    <t>m1011</t>
  </si>
  <si>
    <t>Arm1011</t>
  </si>
  <si>
    <t>armyName.1011</t>
  </si>
  <si>
    <t>armyDescription.1011</t>
  </si>
  <si>
    <t>[101,102]</t>
  </si>
  <si>
    <t>[101101,101102]</t>
  </si>
  <si>
    <t>骑兵</t>
  </si>
  <si>
    <t>[[2,117],[20,175],[40,233],[60,292],[80,350],[100,408],[120,467],[140,525],[160,583],[180,642],[200,700]]</t>
  </si>
  <si>
    <t>[[2,5],[20,7],[40,10],[60,12],[80,15],[100,17],[120,19],[140,22],[160,24],[180,27],[200,29]]</t>
  </si>
  <si>
    <t>[2,5]</t>
  </si>
  <si>
    <t>m1012</t>
  </si>
  <si>
    <t>Arm1012</t>
  </si>
  <si>
    <t>armyName.1012</t>
  </si>
  <si>
    <t>armyDescription.1012</t>
  </si>
  <si>
    <t>[29,30,31,32,33]</t>
  </si>
  <si>
    <t>[0,0.3,0.3,0.3]</t>
  </si>
  <si>
    <t>暗影游侠</t>
  </si>
  <si>
    <t>[[2,147],[20,221],[40,294],[60,368],[80,441],[100,515],[120,588],[140,662],[160,735],[180,809],[200,882]]</t>
  </si>
  <si>
    <t>[[2,5],[20,7],[40,10],[60,12],[80,15],[100,17],[120,20],[140,22],[160,24],[180,27],[200,29]]</t>
  </si>
  <si>
    <t>[1]</t>
  </si>
  <si>
    <t>m1021</t>
  </si>
  <si>
    <t>Arm1021</t>
  </si>
  <si>
    <t>armyName.1021</t>
  </si>
  <si>
    <t>armyDescription.1021</t>
  </si>
  <si>
    <t>[9,10,11,12,13]</t>
  </si>
  <si>
    <t>[10211]</t>
  </si>
  <si>
    <t>[0,0.5,0.5,0.5]</t>
  </si>
  <si>
    <t>狂战士</t>
  </si>
  <si>
    <t>[[2,252],[20,378],[40,504],[60,630],[80,756],[100,882],[120,1008],[140,1134],[160,1260],[180,1386],[200,1512]]</t>
  </si>
  <si>
    <t>[[2,3],[20,4],[40,6],[60,7],[80,9],[100,10],[120,11],[140,13],[160,14],[180,16],[200,17]]</t>
  </si>
  <si>
    <t>m1022</t>
  </si>
  <si>
    <t>Arm1022</t>
  </si>
  <si>
    <t>armyName.1022</t>
  </si>
  <si>
    <t>armyDescription.1022</t>
  </si>
  <si>
    <t>[34,35,36,37,38]</t>
  </si>
  <si>
    <t>熊猫酒仙</t>
  </si>
  <si>
    <t>[[2,594],[20,891],[40,1188],[60,1485],[80,1782],[100,2079],[120,2376],[140,2673],[160,2970],[180,3267],[200,3564]]</t>
  </si>
  <si>
    <t>[[2,7],[20,10],[40,13],[60,17],[80,20],[100,24],[120,27],[140,30],[160,34],[180,37],[200,40]]</t>
  </si>
  <si>
    <t>m1023</t>
  </si>
  <si>
    <t>Arm1023</t>
  </si>
  <si>
    <t>armyName.1023</t>
  </si>
  <si>
    <t>armyDescription.1023</t>
  </si>
  <si>
    <t>[102300,102301,102302,102303]</t>
  </si>
  <si>
    <t>血影君主</t>
  </si>
  <si>
    <t>[[2,812],[20,1218],[40,1624],[60,2030],[80,2436],[100,2842],[120,3248],[140,3654],[160,4060],[180,4466],[200,4872]]</t>
  </si>
  <si>
    <t>[[2,15],[20,22],[40,29],[60,36],[80,44],[100,51],[120,58],[140,66],[160,73],[180,80],[200,87]]</t>
  </si>
  <si>
    <t>m1024</t>
  </si>
  <si>
    <t>Arm1024</t>
  </si>
  <si>
    <t>armyName.1024</t>
  </si>
  <si>
    <t>armyDescription.1024</t>
  </si>
  <si>
    <t>恶魔猎手</t>
  </si>
  <si>
    <t>[[2,728],[20,1092],[40,1456],[60,1820],[80,2184],[100,2548],[120,2912],[140,3276],[160,3640],[180,4004],[200,4368]]</t>
  </si>
  <si>
    <t>[[2,11],[20,16],[40,22],[60,27],[80,33],[100,38],[120,44],[140,49],[160,55],[180,60],[200,66]]</t>
  </si>
  <si>
    <t>[1,800]</t>
  </si>
  <si>
    <t>m1025</t>
  </si>
  <si>
    <t>Arm1025</t>
  </si>
  <si>
    <t>armyName.1025</t>
  </si>
  <si>
    <t>armyDescription.1025</t>
  </si>
  <si>
    <t>冠军勇士</t>
  </si>
  <si>
    <t>[[2,347],[20,520],[40,694],[60,867],[80,1041],[100,1214],[120,1387],[140,1561],[160,1734],[180,1908],[200,2081]]</t>
  </si>
  <si>
    <t>[[2,4],[20,6],[40,8],[60,10],[80,13],[100,15],[120,17],[140,19],[160,21],[180,23],[200,25]]</t>
  </si>
  <si>
    <t>m1026</t>
  </si>
  <si>
    <t>Arm1026</t>
  </si>
  <si>
    <t>armyName.1026</t>
  </si>
  <si>
    <t>armyDescription.1026</t>
  </si>
  <si>
    <t>[102600,102601,102602]</t>
  </si>
  <si>
    <t>萌爪盗贼</t>
  </si>
  <si>
    <t>[[2,311],[20,466],[40,622],[60,777],[80,933],[100,1088],[120,1244],[140,1399],[160,1555],[180,1710],[200,1866]]</t>
  </si>
  <si>
    <t>[[2,5],[20,7],[40,9],[60,12],[80,14],[100,16],[120,19],[140,21],[160,23],[180,26],[200,28]]</t>
  </si>
  <si>
    <t>m1027</t>
  </si>
  <si>
    <t>Arm1027</t>
  </si>
  <si>
    <t>armyName.1027</t>
  </si>
  <si>
    <t>armyDescription.1027</t>
  </si>
  <si>
    <t>[102700,102701,102702]</t>
  </si>
  <si>
    <t>圣光天使</t>
  </si>
  <si>
    <t>[[2,441],[20,662],[40,882],[60,1103],[80,1323],[100,1544],[120,1764],[140,1985],[160,2205],[180,2426],[200,2646]]</t>
  </si>
  <si>
    <t>[[2,7],[20,11],[40,15],[60,18],[80,22],[100,26],[120,30],[140,33],[160,37],[180,41],[200,44]]</t>
  </si>
  <si>
    <t>m1028</t>
  </si>
  <si>
    <t>Arm1028</t>
  </si>
  <si>
    <t>armyName.1028</t>
  </si>
  <si>
    <t>armyDescription.1028</t>
  </si>
  <si>
    <t>火焰炮手</t>
  </si>
  <si>
    <t>[[2,35],[20,52],[40,70],[60,87],[80,105],[100,122],[120,140],[140,157],[160,175],[180,192],[200,210]]</t>
  </si>
  <si>
    <t>[[2,10],[20,15],[40,19],[60,24],[80,29],[100,34],[120,39],[140,44],[160,49],[180,53],[200,58]]</t>
  </si>
  <si>
    <t>m2001</t>
  </si>
  <si>
    <t>Arm2001</t>
  </si>
  <si>
    <t>armyName.2001</t>
  </si>
  <si>
    <t>armyDescription.2001</t>
  </si>
  <si>
    <t>[201,202,203]</t>
  </si>
  <si>
    <t>火法师学徒</t>
  </si>
  <si>
    <t>[[2,10],[20,15],[40,20],[60,26],[80,31],[100,36],[120,41],[140,46],[160,51],[180,56],[200,61]]</t>
  </si>
  <si>
    <t>[[2,4],[20,5],[40,7],[60,9],[80,11],[100,12],[120,14],[140,16],[160,18],[180,20],[200,21]]</t>
  </si>
  <si>
    <t>m2011</t>
  </si>
  <si>
    <t>Arm2011</t>
  </si>
  <si>
    <t>armyName.2011</t>
  </si>
  <si>
    <t>armyDescription.2011</t>
  </si>
  <si>
    <t>熔岩机器人</t>
  </si>
  <si>
    <t>[[2,203],[20,304],[40,406],[60,507],[80,608],[100,710],[120,811],[140,913],[160,1014],[180,1115],[200,1217]]</t>
  </si>
  <si>
    <t>[[2,5],[20,7],[40,10],[60,12],[80,14],[100,17],[120,19],[140,22],[160,24],[180,26],[200,29]]</t>
  </si>
  <si>
    <t>[1,500]</t>
  </si>
  <si>
    <t>m2012</t>
  </si>
  <si>
    <t>Arm2012</t>
  </si>
  <si>
    <t>armyName.2012</t>
  </si>
  <si>
    <t>armyDescription.2012</t>
  </si>
  <si>
    <t>[201201,201202,201203]</t>
  </si>
  <si>
    <t>烈焰魔导师</t>
  </si>
  <si>
    <t>[[2,239],[20,359],[40,478],[60,598],[80,718],[100,837],[120,957],[140,1076],[160,1196],[180,1316],[200,1435]]</t>
  </si>
  <si>
    <t>[[2,6],[20,9],[40,12],[60,15],[80,18],[100,21],[120,24],[140,27],[160,30],[180,33],[200,36]]</t>
  </si>
  <si>
    <t>m2021</t>
  </si>
  <si>
    <t>Arm2021</t>
  </si>
  <si>
    <t>armyName.2021</t>
  </si>
  <si>
    <t>armyDescription.2021</t>
  </si>
  <si>
    <t>[202400,202401]</t>
  </si>
  <si>
    <t>魅魔</t>
  </si>
  <si>
    <t>[[2,288],[20,432],[40,576],[60,720],[80,864],[100,1008],[120,1152],[140,1296],[160,1440],[180,1584],[200,1728]]</t>
  </si>
  <si>
    <t>[[2,11],[20,17],[40,23],[60,28],[80,34],[100,40],[120,45],[140,51],[160,57],[180,62],[200,68]]</t>
  </si>
  <si>
    <t>m2022</t>
  </si>
  <si>
    <t>Arm2022</t>
  </si>
  <si>
    <t>armyName.2022</t>
  </si>
  <si>
    <t>armyDescription.2022</t>
  </si>
  <si>
    <t>[202200,202201,202202]</t>
  </si>
  <si>
    <t>幸运猎手</t>
  </si>
  <si>
    <t>[[2,150],[20,224],[40,299],[60,374],[80,449],[100,523],[120,598],[140,673],[160,748],[180,822],[200,897]]</t>
  </si>
  <si>
    <t>[[2,10],[20,14],[40,19],[60,24],[80,29],[100,33],[120,38],[140,43],[160,48],[180,53],[200,57]]</t>
  </si>
  <si>
    <t>m2023</t>
  </si>
  <si>
    <t>Arm2023</t>
  </si>
  <si>
    <t>armyName.2023</t>
  </si>
  <si>
    <t>armyDescription.2023</t>
  </si>
  <si>
    <t>冥火术士法师</t>
  </si>
  <si>
    <t>[[2,275],[20,413],[40,550],[60,688],[80,825],[100,963],[120,1100],[140,1238],[160,1375],[180,1513],[200,1650]]</t>
  </si>
  <si>
    <t>[[2,5],[20,8],[40,11],[60,13],[80,16],[100,18],[120,21],[140,24],[160,26],[180,29],[200,32]]</t>
  </si>
  <si>
    <t>m2024</t>
  </si>
  <si>
    <t>Arm2024</t>
  </si>
  <si>
    <t>armyName.2024</t>
  </si>
  <si>
    <t>armyDescription.2024</t>
  </si>
  <si>
    <t>莉莉丝</t>
  </si>
  <si>
    <t>[[2,532],[20,798],[40,1064],[60,1330],[80,1596],[100,1862],[120,2128],[140,2394],[160,2660],[180,2926],[200,3192]]</t>
  </si>
  <si>
    <t>[[2,15],[20,22],[40,30],[60,37],[80,45],[100,52],[120,59],[140,67],[160,74],[180,82],[200,89]]</t>
  </si>
  <si>
    <t>m2025</t>
  </si>
  <si>
    <t>Arm2025</t>
  </si>
  <si>
    <t>armyName.2025</t>
  </si>
  <si>
    <t>armyDescription.2025</t>
  </si>
  <si>
    <t>凤凰</t>
  </si>
  <si>
    <t>[[2,672],[20,1008],[40,1344],[60,1680],[80,2016],[100,2352],[120,2688],[140,3024],[160,3360],[180,3696],[200,4032]]</t>
  </si>
  <si>
    <t>[[2,12],[20,18],[40,24],[60,29],[80,35],[100,41],[120,47],[140,53],[160,59],[180,65],[200,71]]</t>
  </si>
  <si>
    <t>Arm2026</t>
  </si>
  <si>
    <t>armyName.2026</t>
  </si>
  <si>
    <t>armyDescription.2026</t>
  </si>
  <si>
    <t>寒冰射手1</t>
  </si>
  <si>
    <t>[[2,4],[20,6],[40,7],[60,9],[80,11],[100,13],[120,15],[140,17],[160,18],[180,20],[200,22]]</t>
  </si>
  <si>
    <t>[[2,1],[20,2],[40,3],[60,3],[80,4],[100,5],[120,6],[140,6],[160,7],[180,8],[200,8]]</t>
  </si>
  <si>
    <t>m3001</t>
  </si>
  <si>
    <t>Arm3001</t>
  </si>
  <si>
    <t>armyName.3001</t>
  </si>
  <si>
    <t>armyDescription.3001</t>
  </si>
  <si>
    <t>[1,2,3,4,5,6]</t>
  </si>
  <si>
    <t>寒冰射手2</t>
  </si>
  <si>
    <t>寒冰射手3</t>
  </si>
  <si>
    <t>寒冰射手4</t>
  </si>
  <si>
    <t>寒冰射手5</t>
  </si>
  <si>
    <t>冰霜巨人</t>
  </si>
  <si>
    <t>[[2,140],[20,210],[40,280],[60,350],[80,420],[100,490],[120,560],[140,630],[160,700],[180,770],[200,840]]</t>
  </si>
  <si>
    <t>[[2,3],[20,5],[40,7],[60,8],[80,10],[100,12],[120,13],[140,15],[160,17],[180,18],[200,20]]</t>
  </si>
  <si>
    <t>[[11,1043,1],[11,1045,0],[11,1048,3022]]</t>
  </si>
  <si>
    <t>[2,4]</t>
  </si>
  <si>
    <t>m3021</t>
  </si>
  <si>
    <t>Arm3021</t>
  </si>
  <si>
    <t>armyName.3021</t>
  </si>
  <si>
    <t>armyDescription.3021</t>
  </si>
  <si>
    <t>[302101,302102,302103,302104]</t>
  </si>
  <si>
    <t>冰霜巨人儿子</t>
  </si>
  <si>
    <t>[[2,31],[20,47],[40,63],[60,79],[80,94],[100,110],[120,126],[140,142],[160,157],[180,173],[200,189]]</t>
  </si>
  <si>
    <t>[[2,1],[20,2],[40,2],[60,3],[80,3],[100,4],[120,5],[140,5],[160,6],[180,6],[200,7]]</t>
  </si>
  <si>
    <t>m3022</t>
  </si>
  <si>
    <t>Arm3022</t>
  </si>
  <si>
    <t>armyName.3022</t>
  </si>
  <si>
    <t>armyDescription.3022</t>
  </si>
  <si>
    <t>冰法师</t>
  </si>
  <si>
    <t>[[2,24],[20,36],[40,49],[60,61],[80,73],[100,85],[120,97],[140,109],[160,122],[180,134],[200,146]]</t>
  </si>
  <si>
    <t>[[2,5],[20,7],[40,9],[60,11],[80,14],[100,16],[120,18],[140,20],[160,23],[180,25],[200,27]]</t>
  </si>
  <si>
    <t>[4]</t>
  </si>
  <si>
    <t>m3031</t>
  </si>
  <si>
    <t>Arm3031</t>
  </si>
  <si>
    <t>armyName.3031</t>
  </si>
  <si>
    <t>armyDescription.3031</t>
  </si>
  <si>
    <t>[303101,303102,303103]</t>
  </si>
  <si>
    <t>海盗船长</t>
  </si>
  <si>
    <t>[[2,585],[20,878],[40,1170],[60,1463],[80,1755],[100,2048],[120,2340],[140,2633],[160,2925],[180,3218],[200,3510]]</t>
  </si>
  <si>
    <t>[[2,8],[20,13],[40,17],[60,21],[80,25],[100,30],[120,34],[140,38],[160,42],[180,47],[200,51]]</t>
  </si>
  <si>
    <t>m3041</t>
  </si>
  <si>
    <t>Arm3041</t>
  </si>
  <si>
    <t>armyName.3041</t>
  </si>
  <si>
    <t>armyDescription.3041</t>
  </si>
  <si>
    <t>美杜莎</t>
  </si>
  <si>
    <t>[[2,495],[20,743],[40,990],[60,1238],[80,1485],[100,1733],[120,1980],[140,2228],[160,2475],[180,2723],[200,2970]]</t>
  </si>
  <si>
    <t>[[2,8],[20,12],[40,16],[60,20],[80,24],[100,28],[120,32],[140,36],[160,40],[180,44],[200,48]]</t>
  </si>
  <si>
    <t>m3042</t>
  </si>
  <si>
    <t>Arm3042</t>
  </si>
  <si>
    <t>armyName.3042</t>
  </si>
  <si>
    <t>armyDescription.3042</t>
  </si>
  <si>
    <t>[30421]</t>
  </si>
  <si>
    <t>死亡骑士</t>
  </si>
  <si>
    <t>[[2,854],[20,1281],[40,1708],[60,2135],[80,2562],[100,2989],[120,3416],[140,3843],[160,4270],[180,4697],[200,5124]]</t>
  </si>
  <si>
    <t>[[2,9],[20,14],[40,18],[60,23],[80,28],[100,32],[120,37],[140,42],[160,46],[180,51],[200,55]]</t>
  </si>
  <si>
    <t>m3043</t>
  </si>
  <si>
    <t>Arm3043</t>
  </si>
  <si>
    <t>armyName.3043</t>
  </si>
  <si>
    <t>armyDescription.3043</t>
  </si>
  <si>
    <t>冰晶室女</t>
  </si>
  <si>
    <t>[[2,504],[20,756],[40,1008],[60,1260],[80,1512],[100,1764],[120,2016],[140,2268],[160,2520],[180,2772],[200,3024]]</t>
  </si>
  <si>
    <t>[[2,16],[20,24],[40,31],[60,39],[80,47],[100,55],[120,63],[140,71],[160,78],[180,86],[200,94]]</t>
  </si>
  <si>
    <t>Arm3044</t>
  </si>
  <si>
    <t>armyName.3044</t>
  </si>
  <si>
    <t>armyDescription.3044</t>
  </si>
  <si>
    <t>雷精灵</t>
  </si>
  <si>
    <t>[[2,4],[20,6],[40,7],[60,9],[80,11],[100,13],[120,15],[140,17],[160,19],[180,21],[200,22]]</t>
  </si>
  <si>
    <t>[[2,3],[20,5],[40,7],[60,8],[80,10],[100,12],[120,14],[140,15],[160,17],[180,19],[200,20]]</t>
  </si>
  <si>
    <t>[1,4]</t>
  </si>
  <si>
    <t>m4001</t>
  </si>
  <si>
    <t>Arm4001</t>
  </si>
  <si>
    <t>armyName.4001</t>
  </si>
  <si>
    <t>armyDescription.4001</t>
  </si>
  <si>
    <t>[400101,400102]</t>
  </si>
  <si>
    <t>闪灵刺客</t>
  </si>
  <si>
    <t>[[2,34],[20,51],[40,68],[60,85],[80,102],[100,119],[120,137],[140,154],[160,171],[180,188],[200,205]]</t>
  </si>
  <si>
    <t>[[2,4],[20,5],[40,7],[60,9],[80,11],[100,12],[120,14],[140,16],[160,18],[180,19],[200,21]]</t>
  </si>
  <si>
    <t>[[11,1111,2],[11,1111,4]]</t>
  </si>
  <si>
    <t>[1,5]</t>
  </si>
  <si>
    <t>m4002</t>
  </si>
  <si>
    <t>Arm4002</t>
  </si>
  <si>
    <t>armyName.4002</t>
  </si>
  <si>
    <t>armyDescription.4002</t>
  </si>
  <si>
    <t>雷法师</t>
  </si>
  <si>
    <t>[[2,55],[20,83],[40,111],[60,139],[80,166],[100,194],[120,222],[140,249],[160,277],[180,305],[200,333]]</t>
  </si>
  <si>
    <t>[[2,4],[20,6],[40,9],[60,11],[80,13],[100,15],[120,17],[140,19],[160,21],[180,24],[200,26]]</t>
  </si>
  <si>
    <t>m4011</t>
  </si>
  <si>
    <t>Arm4011</t>
  </si>
  <si>
    <t>armyName.4011</t>
  </si>
  <si>
    <t>armyDescription.4011</t>
  </si>
  <si>
    <t>[401101,401102,401103]</t>
  </si>
  <si>
    <t>雷神索尔</t>
  </si>
  <si>
    <t>[[2,770],[20,1155],[40,1540],[60,1925],[80,2310],[100,2695],[120,3080],[140,3465],[160,3850],[180,4235],[200,4620]]</t>
  </si>
  <si>
    <t>[[2,10],[20,16],[40,21],[60,26],[80,31],[100,36],[120,41],[140,47],[160,52],[180,57],[200,62]]</t>
  </si>
  <si>
    <t>m4021</t>
  </si>
  <si>
    <t>Arm4021</t>
  </si>
  <si>
    <t>armyName.4021</t>
  </si>
  <si>
    <t>armyDescription.4021</t>
  </si>
  <si>
    <t>雷电法王</t>
  </si>
  <si>
    <t>[[2,179],[20,269],[40,359],[60,449],[80,538],[100,628],[120,718],[140,807],[160,897],[180,987],[200,1076]]</t>
  </si>
  <si>
    <t>m4022</t>
  </si>
  <si>
    <t>Arm4022</t>
  </si>
  <si>
    <t>armyName.4022</t>
  </si>
  <si>
    <t>armyDescription.4022</t>
  </si>
  <si>
    <t>宙斯</t>
  </si>
  <si>
    <t>[[2,700],[20,1050],[40,1400],[60,1750],[80,2100],[100,2450],[120,2800],[140,3150],[160,3500],[180,3850],[200,4200]]</t>
  </si>
  <si>
    <t>[[2,11],[20,17],[40,22],[60,28],[80,34],[100,39],[120,45],[140,50],[160,56],[180,62],[200,67]]</t>
  </si>
  <si>
    <t>m4023</t>
  </si>
  <si>
    <t>Arm4023</t>
  </si>
  <si>
    <t>armyName.4023</t>
  </si>
  <si>
    <t>armyDescription.4023</t>
  </si>
  <si>
    <t>[7,8]</t>
  </si>
  <si>
    <t>狼灵萨满</t>
  </si>
  <si>
    <t>[[2,257],[20,386],[40,515],[60,644],[80,772],[100,901],[120,1030],[140,1158],[160,1287],[180,1416],[200,1544]]</t>
  </si>
  <si>
    <t>[[2,15],[20,23],[40,31],[60,38],[80,46],[100,53],[120,61],[140,69],[160,76],[180,84],[200,92]]</t>
  </si>
  <si>
    <t>m4024</t>
  </si>
  <si>
    <t>Arm4024</t>
  </si>
  <si>
    <t>armyName.4024</t>
  </si>
  <si>
    <t>armyDescription.4024</t>
  </si>
  <si>
    <t>小电塔</t>
  </si>
  <si>
    <t>[[2,69],[20,104],[40,138],[60,173],[80,207],[100,242],[120,276],[140,311],[160,345],[180,380],[200,414]]</t>
  </si>
  <si>
    <t>[[2,3],[20,4],[40,5],[60,7],[80,8],[100,9],[120,11],[140,12],[160,13],[180,15],[200,16]]</t>
  </si>
  <si>
    <t>m4998</t>
  </si>
  <si>
    <t>Arm4998</t>
  </si>
  <si>
    <t>armyName.4998</t>
  </si>
  <si>
    <t>armyDescription.4998</t>
  </si>
  <si>
    <t>[5,6]</t>
  </si>
  <si>
    <t>小电塔（敌方）</t>
  </si>
  <si>
    <t>[[2,10],[10,20],[20,30],[30,50],[40,60],[50,70],[60,90],[70,110],[80,130],[90,150],[100,180]]</t>
  </si>
  <si>
    <t>m14998</t>
  </si>
  <si>
    <t>Arm14998</t>
  </si>
  <si>
    <t>armyName.14998</t>
  </si>
  <si>
    <t>armyDescription.14998</t>
  </si>
  <si>
    <t>我方箭塔</t>
  </si>
  <si>
    <t>[[2,150],[20,225],[40,300],[60,375],[80,450],[100,525],[120,600],[140,675],[160,750],[180,825],[200,900]]</t>
  </si>
  <si>
    <t>[[2,30],[20,45],[40,60],[60,75],[80,90],[100,105],[120,120],[140,135],[160,150],[180,165],[200,180]]</t>
  </si>
  <si>
    <t>m5000</t>
  </si>
  <si>
    <t>Arm5000</t>
  </si>
  <si>
    <t>armyName.5000</t>
  </si>
  <si>
    <t>armyDescription.5000</t>
  </si>
  <si>
    <t>敌方箭塔</t>
  </si>
  <si>
    <t>m5001</t>
  </si>
  <si>
    <t>Arm5001</t>
  </si>
  <si>
    <t>armyName.5001</t>
  </si>
  <si>
    <t>armyDescription.5001</t>
  </si>
  <si>
    <t>[1013]</t>
  </si>
  <si>
    <t>敌方剑士</t>
  </si>
  <si>
    <t>m11001</t>
  </si>
  <si>
    <t>Arm11001</t>
  </si>
  <si>
    <t>armyName.11001</t>
  </si>
  <si>
    <t>armyDescription.11001</t>
  </si>
  <si>
    <t>敌方女猎手</t>
  </si>
  <si>
    <t>m11011</t>
  </si>
  <si>
    <t>Arm11011</t>
  </si>
  <si>
    <t>armyName.11011</t>
  </si>
  <si>
    <t>armyDescription.11011</t>
  </si>
  <si>
    <t>敌方骑士</t>
  </si>
  <si>
    <t>[[11,1111,2],[11,1111,3],[11,1111,4]]</t>
  </si>
  <si>
    <t>m11012</t>
  </si>
  <si>
    <t>Arm11012</t>
  </si>
  <si>
    <t>armyName.11012</t>
  </si>
  <si>
    <t>armyDescription.11012</t>
  </si>
  <si>
    <t>敌方火焰炮手</t>
  </si>
  <si>
    <t>[1,7]</t>
  </si>
  <si>
    <t>m12001</t>
  </si>
  <si>
    <t>Arm12001</t>
  </si>
  <si>
    <t>armyName.12001</t>
  </si>
  <si>
    <t>armyDescription.12001</t>
  </si>
  <si>
    <t>敌方火法师学徒</t>
  </si>
  <si>
    <t>m12011</t>
  </si>
  <si>
    <t>Arm12011</t>
  </si>
  <si>
    <t>armyName.12011</t>
  </si>
  <si>
    <t>armyDescription.12011</t>
  </si>
  <si>
    <t>敌方火焰机甲</t>
  </si>
  <si>
    <t>[[11,1111,5]]</t>
  </si>
  <si>
    <t>m12012</t>
  </si>
  <si>
    <t>Arm12012</t>
  </si>
  <si>
    <t>armyName.12012</t>
  </si>
  <si>
    <t>armyDescription.12012</t>
  </si>
  <si>
    <t>敌方寒冰射手</t>
  </si>
  <si>
    <t>m13001</t>
  </si>
  <si>
    <t>Arm13001</t>
  </si>
  <si>
    <t>armyName.13001</t>
  </si>
  <si>
    <t>armyDescription.13001</t>
  </si>
  <si>
    <t>敌方冰霜巨人</t>
  </si>
  <si>
    <t>[[11,1043,1],[11,1045,5],[11,1048,13022],[11,1111,2],[11,1111,3],[11,1111,4]]</t>
  </si>
  <si>
    <t>m13021</t>
  </si>
  <si>
    <t>Arm13021</t>
  </si>
  <si>
    <t>armyName.13021</t>
  </si>
  <si>
    <t>armyDescription.13021</t>
  </si>
  <si>
    <t>敌方冰霜巨人儿子</t>
  </si>
  <si>
    <t>m13022</t>
  </si>
  <si>
    <t>Arm13022</t>
  </si>
  <si>
    <t>armyName.13022</t>
  </si>
  <si>
    <t>armyDescription.13022</t>
  </si>
  <si>
    <t>敌方冰法师</t>
  </si>
  <si>
    <t>m13031</t>
  </si>
  <si>
    <t>Arm13031</t>
  </si>
  <si>
    <t>armyName.13031</t>
  </si>
  <si>
    <t>armyDescription.13031</t>
  </si>
  <si>
    <t>敌方雷精灵</t>
  </si>
  <si>
    <t>[[11,1111,2],[11,1111,3]]</t>
  </si>
  <si>
    <t>m14001</t>
  </si>
  <si>
    <t>Arm14001</t>
  </si>
  <si>
    <t>armyName.14001</t>
  </si>
  <si>
    <t>armyDescription.14001</t>
  </si>
  <si>
    <t>敌方闪灵刺客</t>
  </si>
  <si>
    <t>[1,1100]</t>
  </si>
  <si>
    <t>m14002</t>
  </si>
  <si>
    <t>Arm14002</t>
  </si>
  <si>
    <t>armyName.14002</t>
  </si>
  <si>
    <t>armyDescription.14002</t>
  </si>
  <si>
    <t>敌方雷法师</t>
  </si>
  <si>
    <t>m14011</t>
  </si>
  <si>
    <t>Arm14011</t>
  </si>
  <si>
    <t>armyName.14011</t>
  </si>
  <si>
    <t>armyDescription.14011</t>
  </si>
  <si>
    <t>敌方精英盾兵</t>
  </si>
  <si>
    <t>m81001</t>
  </si>
  <si>
    <t>Arm81001</t>
  </si>
  <si>
    <t>armyName.81001</t>
  </si>
  <si>
    <t>armyDescription.81001</t>
  </si>
  <si>
    <t>敌方精英女猎手</t>
  </si>
  <si>
    <t>m81011</t>
  </si>
  <si>
    <t>Arm81011</t>
  </si>
  <si>
    <t>armyName.81011</t>
  </si>
  <si>
    <t>armyDescription.81011</t>
  </si>
  <si>
    <t>[101101,101102,101103]</t>
  </si>
  <si>
    <t>敌方精英骑士</t>
  </si>
  <si>
    <t>m81012</t>
  </si>
  <si>
    <t>Arm81012</t>
  </si>
  <si>
    <t>armyName.81012</t>
  </si>
  <si>
    <t>armyDescription.81012</t>
  </si>
  <si>
    <t>敌方精英火焰炮手</t>
  </si>
  <si>
    <t>m82001</t>
  </si>
  <si>
    <t>Arm82001</t>
  </si>
  <si>
    <t>armyName.82001</t>
  </si>
  <si>
    <t>armyDescription.82001</t>
  </si>
  <si>
    <t>敌方精英火法师学徒</t>
  </si>
  <si>
    <t>m82011</t>
  </si>
  <si>
    <t>Arm82011</t>
  </si>
  <si>
    <t>armyName.82011</t>
  </si>
  <si>
    <t>armyDescription.82011</t>
  </si>
  <si>
    <t>敌方精英火焰机甲</t>
  </si>
  <si>
    <t>[[11,1111,2],[11,1111,3],[11,1111,4],[11,1111,5]]</t>
  </si>
  <si>
    <t>[100,3000]</t>
  </si>
  <si>
    <t>m82012</t>
  </si>
  <si>
    <t>Arm82012</t>
  </si>
  <si>
    <t>armyName.82012</t>
  </si>
  <si>
    <t>armyDescription.82012</t>
  </si>
  <si>
    <t>敌方精英寒冰射手</t>
  </si>
  <si>
    <t>m83001</t>
  </si>
  <si>
    <t>Arm83001</t>
  </si>
  <si>
    <t>armyName.83001</t>
  </si>
  <si>
    <t>armyDescription.83001</t>
  </si>
  <si>
    <t>敌方精英冰霜巨人</t>
  </si>
  <si>
    <t>m83021</t>
  </si>
  <si>
    <t>Arm83021</t>
  </si>
  <si>
    <t>armyName.83021</t>
  </si>
  <si>
    <t>armyDescription.83021</t>
  </si>
  <si>
    <t>敌方精英冰法师</t>
  </si>
  <si>
    <t>m83031</t>
  </si>
  <si>
    <t>Arm83031</t>
  </si>
  <si>
    <t>armyName.83031</t>
  </si>
  <si>
    <t>armyDescription.83031</t>
  </si>
  <si>
    <t>敌方精英雷精灵</t>
  </si>
  <si>
    <t>m84001</t>
  </si>
  <si>
    <t>Arm84001</t>
  </si>
  <si>
    <t>armyName.84001</t>
  </si>
  <si>
    <t>armyDescription.84001</t>
  </si>
  <si>
    <t>敌方精英闪灵刺客</t>
  </si>
  <si>
    <t>m84002</t>
  </si>
  <si>
    <t>Arm84002</t>
  </si>
  <si>
    <t>armyName.84002</t>
  </si>
  <si>
    <t>armyDescription.84002</t>
  </si>
  <si>
    <t>敌方精英雷法师</t>
  </si>
  <si>
    <t>m84011</t>
  </si>
  <si>
    <t>Arm84011</t>
  </si>
  <si>
    <t>armyName.84011</t>
  </si>
  <si>
    <t>armyDescription.84011</t>
  </si>
  <si>
    <t>女猎手BOSS（双）</t>
  </si>
  <si>
    <t>m21011</t>
  </si>
  <si>
    <t>Arm21011</t>
  </si>
  <si>
    <t>armyName.21011</t>
  </si>
  <si>
    <t>armyDescription.21011</t>
  </si>
  <si>
    <t>[0,0.8,0.8,0.8]</t>
  </si>
  <si>
    <t>骑士BOSS</t>
  </si>
  <si>
    <t>m21012</t>
  </si>
  <si>
    <t>Arm21012</t>
  </si>
  <si>
    <t>armyName.21012</t>
  </si>
  <si>
    <t>armyDescription.21012</t>
  </si>
  <si>
    <t>暗影游侠BOSS</t>
  </si>
  <si>
    <t>m21021</t>
  </si>
  <si>
    <t>Arm21021</t>
  </si>
  <si>
    <t>armyName.21021</t>
  </si>
  <si>
    <t>armyDescription.21021</t>
  </si>
  <si>
    <t>战神BOSS</t>
  </si>
  <si>
    <t>m21022</t>
  </si>
  <si>
    <t>Arm21022</t>
  </si>
  <si>
    <t>armyName.21022</t>
  </si>
  <si>
    <t>armyDescription.21022</t>
  </si>
  <si>
    <t>熊猫BOSS</t>
  </si>
  <si>
    <t>m21023</t>
  </si>
  <si>
    <t>Arm21023</t>
  </si>
  <si>
    <t>armyName.21023</t>
  </si>
  <si>
    <t>armyDescription.21023</t>
  </si>
  <si>
    <t>血影君主BOSS</t>
  </si>
  <si>
    <t>m21024</t>
  </si>
  <si>
    <t>Arm21024</t>
  </si>
  <si>
    <t>armyName.21024</t>
  </si>
  <si>
    <t>armyDescription.21024</t>
  </si>
  <si>
    <t>恶魔猎手BOSS</t>
  </si>
  <si>
    <t>m21025</t>
  </si>
  <si>
    <t>Arm21025</t>
  </si>
  <si>
    <t>armyName.21025</t>
  </si>
  <si>
    <t>armyDescription.21025</t>
  </si>
  <si>
    <t>冠军勇士BOSS</t>
  </si>
  <si>
    <t>m21026</t>
  </si>
  <si>
    <t>Arm21026</t>
  </si>
  <si>
    <t>armyName.21026</t>
  </si>
  <si>
    <t>armyDescription.21026</t>
  </si>
  <si>
    <t>萌爪盗贼BOSS</t>
  </si>
  <si>
    <t>m21027</t>
  </si>
  <si>
    <t>Arm21027</t>
  </si>
  <si>
    <t>armyName.21027</t>
  </si>
  <si>
    <t>armyDescription.21027</t>
  </si>
  <si>
    <t>圣光天使BOSS</t>
  </si>
  <si>
    <t>m21028</t>
  </si>
  <si>
    <t>Arm21028</t>
  </si>
  <si>
    <t>armyName.21028</t>
  </si>
  <si>
    <t>armyDescription.21028</t>
  </si>
  <si>
    <t>火法师学徒BOSS（双）</t>
  </si>
  <si>
    <t>m22011</t>
  </si>
  <si>
    <t>Arm22011</t>
  </si>
  <si>
    <t>armyName.22011</t>
  </si>
  <si>
    <t>armyDescription.22011</t>
  </si>
  <si>
    <t>熔岩机器人BOSS</t>
  </si>
  <si>
    <t>m22012</t>
  </si>
  <si>
    <t>Arm22012</t>
  </si>
  <si>
    <t>armyName.22012</t>
  </si>
  <si>
    <t>armyDescription.22012</t>
  </si>
  <si>
    <t>烈焰魔导师BOSS</t>
  </si>
  <si>
    <t>m22021</t>
  </si>
  <si>
    <t>Arm22021</t>
  </si>
  <si>
    <t>armyName.22021</t>
  </si>
  <si>
    <t>armyDescription.22021</t>
  </si>
  <si>
    <t>魅魔BOSS</t>
  </si>
  <si>
    <t>m22022</t>
  </si>
  <si>
    <t>Arm22022</t>
  </si>
  <si>
    <t>armyName.22022</t>
  </si>
  <si>
    <t>armyDescription.22022</t>
  </si>
  <si>
    <t>幸运猎手BOSS</t>
  </si>
  <si>
    <t>m22023</t>
  </si>
  <si>
    <t>Arm22023</t>
  </si>
  <si>
    <t>armyName.22023</t>
  </si>
  <si>
    <t>armyDescription.22023</t>
  </si>
  <si>
    <t>冥火术士BOSS</t>
  </si>
  <si>
    <t>m22024</t>
  </si>
  <si>
    <t>Arm22024</t>
  </si>
  <si>
    <t>armyName.22024</t>
  </si>
  <si>
    <t>armyDescription.22024</t>
  </si>
  <si>
    <t>莉莉丝BOSS</t>
  </si>
  <si>
    <t>m22025</t>
  </si>
  <si>
    <t>Arm22025</t>
  </si>
  <si>
    <t>armyName.22025</t>
  </si>
  <si>
    <t>armyDescription.22025</t>
  </si>
  <si>
    <t>凤凰BOSS</t>
  </si>
  <si>
    <t>冰霜巨人BOSS（双）</t>
  </si>
  <si>
    <t>[[11,1043,1],[11,1045,10],[11,1048,13022],[11,1111,2],[11,1111,3],[11,1111,4]]</t>
  </si>
  <si>
    <t>m23021</t>
  </si>
  <si>
    <t>Arm23021</t>
  </si>
  <si>
    <t>armyName.23021</t>
  </si>
  <si>
    <t>armyDescription.23021</t>
  </si>
  <si>
    <t>冰法师BOSS</t>
  </si>
  <si>
    <t>海盗BOSS</t>
  </si>
  <si>
    <t>m23041</t>
  </si>
  <si>
    <t>Arm23041</t>
  </si>
  <si>
    <t>armyName.23041</t>
  </si>
  <si>
    <t>armyDescription.23041</t>
  </si>
  <si>
    <t>美杜莎BOSS</t>
  </si>
  <si>
    <t>m23042</t>
  </si>
  <si>
    <t>Arm23042</t>
  </si>
  <si>
    <t>armyName.23042</t>
  </si>
  <si>
    <t>armyDescription.23042</t>
  </si>
  <si>
    <t>死亡骑士BOSS</t>
  </si>
  <si>
    <t>m23043</t>
  </si>
  <si>
    <t>Arm23043</t>
  </si>
  <si>
    <t>armyName.23043</t>
  </si>
  <si>
    <t>armyDescription.23043</t>
  </si>
  <si>
    <t>冰晶室女BOSS</t>
  </si>
  <si>
    <t>闪灵刺客BOSS</t>
  </si>
  <si>
    <t>雷法师BOSS</t>
  </si>
  <si>
    <t>m24011</t>
  </si>
  <si>
    <t>Arm24011</t>
  </si>
  <si>
    <t>armyName.24011</t>
  </si>
  <si>
    <t>armyDescription.24011</t>
  </si>
  <si>
    <t>雷神索尔BOSS</t>
  </si>
  <si>
    <t>m24021</t>
  </si>
  <si>
    <t>Arm24021</t>
  </si>
  <si>
    <t>armyName.24021</t>
  </si>
  <si>
    <t>armyDescription.24021</t>
  </si>
  <si>
    <t>雷电法王BOSS</t>
  </si>
  <si>
    <t>m24022</t>
  </si>
  <si>
    <t>Arm24022</t>
  </si>
  <si>
    <t>armyName.24022</t>
  </si>
  <si>
    <t>armyDescription.24022</t>
  </si>
  <si>
    <t>宙斯BOSS</t>
  </si>
  <si>
    <t>m24023</t>
  </si>
  <si>
    <t>Arm24023</t>
  </si>
  <si>
    <t>armyName.24023</t>
  </si>
  <si>
    <t>armyDescription.24023</t>
  </si>
  <si>
    <t>狼灵萨满BOSS</t>
  </si>
  <si>
    <t>m24024</t>
  </si>
  <si>
    <t>Arm24024</t>
  </si>
  <si>
    <t>armyName.24024</t>
  </si>
  <si>
    <t>armyDescription.24024</t>
  </si>
  <si>
    <t>暗影游侠世界BOSS</t>
  </si>
  <si>
    <t>m31021</t>
  </si>
  <si>
    <t>Arm31021</t>
  </si>
  <si>
    <t>armyName.31021</t>
  </si>
  <si>
    <t>armyDescription.31021</t>
  </si>
  <si>
    <t>[0,1,1,1]</t>
  </si>
  <si>
    <t>烈焰魔导师世界BOSS</t>
  </si>
  <si>
    <t>m32021</t>
  </si>
  <si>
    <t>Arm32021</t>
  </si>
  <si>
    <t>armyName.32021</t>
  </si>
  <si>
    <t>armyDescription.32021</t>
  </si>
  <si>
    <t>三头龙世界BOSS</t>
  </si>
  <si>
    <t>[[2,4],[20,6],[40,8],[60,10],[80,12],[100,14],[120,16],[140,18],[160,20],[180,22],[200,24]]</t>
  </si>
  <si>
    <t>m34021</t>
  </si>
  <si>
    <t>Arm34021</t>
  </si>
  <si>
    <t>armyName.50001</t>
  </si>
  <si>
    <t>armyDescription.50001</t>
  </si>
  <si>
    <t>剑士</t>
    <phoneticPr fontId="12" type="noConversion"/>
  </si>
  <si>
    <t>土巨人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</si>
</sst>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</font>
    <font>
      <b/>
      <sz val="10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name val="等线"/>
      <family val="3"/>
      <charset val="134"/>
    </font>
    <font>
      <sz val="11"/>
      <color rgb="FF0070C0"/>
      <name val="华文中宋"/>
      <family val="3"/>
      <charset val="134"/>
    </font>
    <font>
      <sz val="11"/>
      <color rgb="FF000000"/>
      <name val="等线"/>
      <family val="3"/>
      <charset val="134"/>
    </font>
    <font>
      <b/>
      <sz val="10"/>
      <color rgb="FFFF0000"/>
      <name val="微软雅黑"/>
      <family val="2"/>
      <charset val="134"/>
    </font>
    <font>
      <sz val="11"/>
      <color rgb="FFFF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1" fillId="0" borderId="0"/>
    <xf numFmtId="0" fontId="5" fillId="0" borderId="0" applyNumberFormat="0" applyFill="0" applyBorder="0" applyAlignment="0">
      <alignment horizontal="center"/>
    </xf>
  </cellStyleXfs>
  <cellXfs count="3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2" borderId="1" xfId="2" applyFill="1" applyBorder="1" applyAlignment="1">
      <alignment horizontal="center" vertical="center"/>
    </xf>
    <xf numFmtId="0" fontId="5" fillId="2" borderId="1" xfId="2" applyNumberFormat="1" applyFill="1" applyBorder="1" applyAlignment="1">
      <alignment horizontal="center" vertical="center"/>
    </xf>
    <xf numFmtId="0" fontId="5" fillId="3" borderId="1" xfId="2" applyFill="1" applyBorder="1" applyAlignment="1">
      <alignment horizontal="center" vertical="center"/>
    </xf>
    <xf numFmtId="0" fontId="5" fillId="3" borderId="1" xfId="2" applyNumberForma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6" borderId="1" xfId="2" applyFill="1" applyBorder="1" applyAlignment="1">
      <alignment horizontal="center" vertical="center"/>
    </xf>
    <xf numFmtId="0" fontId="5" fillId="5" borderId="1" xfId="2" applyFill="1" applyBorder="1" applyAlignment="1">
      <alignment horizontal="center" vertical="center"/>
    </xf>
    <xf numFmtId="0" fontId="5" fillId="9" borderId="1" xfId="2" applyNumberForma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我的公式" xfId="2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121"/>
  <sheetViews>
    <sheetView tabSelected="1" workbookViewId="0">
      <pane ySplit="4" topLeftCell="A5" activePane="bottomLeft" state="frozen"/>
      <selection pane="bottomLeft" activeCell="H13" sqref="H13"/>
    </sheetView>
  </sheetViews>
  <sheetFormatPr defaultColWidth="9" defaultRowHeight="14.25" x14ac:dyDescent="0.2"/>
  <cols>
    <col min="1" max="2" width="9" style="3"/>
    <col min="3" max="3" width="24.875" style="3" customWidth="1"/>
    <col min="4" max="4" width="19.5" style="3" customWidth="1"/>
    <col min="5" max="6" width="11" style="3" customWidth="1"/>
    <col min="7" max="7" width="14" style="3" customWidth="1"/>
    <col min="8" max="12" width="10.625" style="3" customWidth="1"/>
    <col min="13" max="14" width="42.75" style="3" customWidth="1"/>
    <col min="15" max="15" width="88.875" style="3" customWidth="1"/>
    <col min="16" max="28" width="12.375" style="3" customWidth="1"/>
    <col min="29" max="30" width="12.125" style="3" customWidth="1"/>
    <col min="31" max="31" width="28.375" style="3" customWidth="1"/>
    <col min="32" max="37" width="8.875" style="3" customWidth="1"/>
    <col min="38" max="16384" width="9" style="3"/>
  </cols>
  <sheetData>
    <row r="1" spans="1:37" x14ac:dyDescent="0.2">
      <c r="A1" s="3" t="s">
        <v>0</v>
      </c>
      <c r="B1" s="4" t="s">
        <v>1</v>
      </c>
      <c r="P1" s="17">
        <v>0</v>
      </c>
    </row>
    <row r="2" spans="1:37" ht="16.5" x14ac:dyDescent="0.2">
      <c r="A2" s="3" t="s">
        <v>0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17" t="s">
        <v>16</v>
      </c>
      <c r="Q2" s="20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23</v>
      </c>
      <c r="X2" s="5" t="s">
        <v>24</v>
      </c>
      <c r="Y2" s="20" t="s">
        <v>25</v>
      </c>
      <c r="Z2" s="5" t="s">
        <v>26</v>
      </c>
      <c r="AA2" s="5" t="s">
        <v>27</v>
      </c>
      <c r="AB2" s="5" t="s">
        <v>28</v>
      </c>
      <c r="AC2" s="5" t="s">
        <v>29</v>
      </c>
      <c r="AD2" s="5" t="s">
        <v>30</v>
      </c>
      <c r="AE2" s="5" t="s">
        <v>31</v>
      </c>
      <c r="AF2" s="5" t="s">
        <v>32</v>
      </c>
      <c r="AG2" s="5" t="s">
        <v>33</v>
      </c>
      <c r="AH2" s="5" t="s">
        <v>34</v>
      </c>
      <c r="AI2" s="5" t="s">
        <v>35</v>
      </c>
      <c r="AJ2" s="5" t="s">
        <v>36</v>
      </c>
      <c r="AK2" s="5" t="s">
        <v>37</v>
      </c>
    </row>
    <row r="3" spans="1:37" ht="16.5" x14ac:dyDescent="0.2">
      <c r="A3" s="3" t="s">
        <v>0</v>
      </c>
      <c r="B3" s="6" t="s">
        <v>38</v>
      </c>
      <c r="C3" s="6" t="s">
        <v>39</v>
      </c>
      <c r="D3" s="5" t="s">
        <v>38</v>
      </c>
      <c r="E3" s="5" t="s">
        <v>40</v>
      </c>
      <c r="F3" s="5" t="s">
        <v>40</v>
      </c>
      <c r="G3" s="5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40</v>
      </c>
      <c r="M3" s="6" t="s">
        <v>39</v>
      </c>
      <c r="N3" s="6" t="s">
        <v>39</v>
      </c>
      <c r="O3" s="6" t="s">
        <v>39</v>
      </c>
      <c r="P3" s="17" t="s">
        <v>38</v>
      </c>
      <c r="Q3" s="21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39</v>
      </c>
      <c r="W3" s="6" t="s">
        <v>38</v>
      </c>
      <c r="X3" s="6" t="s">
        <v>38</v>
      </c>
      <c r="Y3" s="21" t="s">
        <v>39</v>
      </c>
      <c r="Z3" s="6" t="s">
        <v>39</v>
      </c>
      <c r="AA3" s="6" t="s">
        <v>39</v>
      </c>
      <c r="AB3" s="6" t="s">
        <v>39</v>
      </c>
      <c r="AC3" s="5" t="s">
        <v>39</v>
      </c>
      <c r="AD3" s="5" t="s">
        <v>39</v>
      </c>
      <c r="AE3" s="5" t="s">
        <v>39</v>
      </c>
      <c r="AF3" s="5" t="s">
        <v>39</v>
      </c>
      <c r="AG3" s="5" t="s">
        <v>39</v>
      </c>
      <c r="AH3" s="5" t="s">
        <v>39</v>
      </c>
      <c r="AI3" s="5" t="s">
        <v>40</v>
      </c>
      <c r="AJ3" s="5" t="s">
        <v>40</v>
      </c>
      <c r="AK3" s="5" t="s">
        <v>40</v>
      </c>
    </row>
    <row r="4" spans="1:37" ht="16.5" x14ac:dyDescent="0.2">
      <c r="A4" s="3" t="s">
        <v>0</v>
      </c>
      <c r="B4" s="5" t="s">
        <v>41</v>
      </c>
      <c r="C4" s="5" t="s">
        <v>42</v>
      </c>
      <c r="D4" s="5" t="s">
        <v>43</v>
      </c>
      <c r="E4" s="5" t="s">
        <v>44</v>
      </c>
      <c r="F4" s="5" t="s">
        <v>45</v>
      </c>
      <c r="G4" s="5" t="s">
        <v>46</v>
      </c>
      <c r="H4" s="5" t="s">
        <v>47</v>
      </c>
      <c r="I4" s="5" t="s">
        <v>48</v>
      </c>
      <c r="J4" s="5" t="s">
        <v>49</v>
      </c>
      <c r="K4" s="5" t="s">
        <v>50</v>
      </c>
      <c r="L4" s="5" t="s">
        <v>51</v>
      </c>
      <c r="M4" s="5" t="s">
        <v>52</v>
      </c>
      <c r="N4" s="5" t="s">
        <v>53</v>
      </c>
      <c r="O4" s="5" t="s">
        <v>54</v>
      </c>
      <c r="P4" s="17" t="s">
        <v>55</v>
      </c>
      <c r="Q4" s="20" t="s">
        <v>56</v>
      </c>
      <c r="R4" s="5" t="s">
        <v>57</v>
      </c>
      <c r="S4" s="5" t="s">
        <v>58</v>
      </c>
      <c r="T4" s="5" t="s">
        <v>59</v>
      </c>
      <c r="U4" s="5" t="s">
        <v>60</v>
      </c>
      <c r="V4" s="5" t="s">
        <v>61</v>
      </c>
      <c r="W4" s="5" t="s">
        <v>62</v>
      </c>
      <c r="X4" s="5" t="s">
        <v>63</v>
      </c>
      <c r="Y4" s="20" t="s">
        <v>64</v>
      </c>
      <c r="Z4" s="5" t="s">
        <v>65</v>
      </c>
      <c r="AA4" s="5" t="s">
        <v>66</v>
      </c>
      <c r="AB4" s="5" t="s">
        <v>67</v>
      </c>
      <c r="AC4" s="5" t="s">
        <v>68</v>
      </c>
      <c r="AD4" s="5" t="s">
        <v>69</v>
      </c>
      <c r="AE4" s="5" t="s">
        <v>70</v>
      </c>
      <c r="AF4" s="5" t="s">
        <v>71</v>
      </c>
      <c r="AG4" s="5" t="s">
        <v>72</v>
      </c>
      <c r="AH4" s="5" t="s">
        <v>73</v>
      </c>
      <c r="AI4" s="5" t="s">
        <v>74</v>
      </c>
      <c r="AJ4" s="5" t="s">
        <v>75</v>
      </c>
      <c r="AK4" s="5" t="s">
        <v>76</v>
      </c>
    </row>
    <row r="5" spans="1:37" s="1" customFormat="1" ht="16.5" x14ac:dyDescent="0.2">
      <c r="B5" s="7">
        <v>1001</v>
      </c>
      <c r="C5" s="8" t="s">
        <v>681</v>
      </c>
      <c r="D5" s="9">
        <v>0</v>
      </c>
      <c r="E5" s="13">
        <v>0</v>
      </c>
      <c r="F5" s="13">
        <v>0.4</v>
      </c>
      <c r="G5" s="9">
        <v>1</v>
      </c>
      <c r="H5" s="13">
        <v>1000</v>
      </c>
      <c r="I5" s="13">
        <v>200</v>
      </c>
      <c r="J5" s="13">
        <v>900</v>
      </c>
      <c r="K5" s="13">
        <v>180</v>
      </c>
      <c r="L5" s="13">
        <v>1</v>
      </c>
      <c r="M5" s="13" t="s">
        <v>77</v>
      </c>
      <c r="N5" s="13" t="s">
        <v>78</v>
      </c>
      <c r="O5" s="18"/>
      <c r="P5" s="8">
        <v>75</v>
      </c>
      <c r="Q5" s="22">
        <v>84</v>
      </c>
      <c r="R5" s="8">
        <v>300</v>
      </c>
      <c r="S5" s="8"/>
      <c r="T5" s="8">
        <v>0</v>
      </c>
      <c r="U5" s="8">
        <v>1</v>
      </c>
      <c r="V5" s="8" t="s">
        <v>79</v>
      </c>
      <c r="W5" s="13">
        <v>15</v>
      </c>
      <c r="X5" s="8">
        <v>0</v>
      </c>
      <c r="Y5" s="22" t="s">
        <v>80</v>
      </c>
      <c r="Z5" s="8" t="s">
        <v>81</v>
      </c>
      <c r="AA5" s="8" t="s">
        <v>82</v>
      </c>
      <c r="AB5" s="8" t="s">
        <v>83</v>
      </c>
      <c r="AC5" s="8" t="s">
        <v>84</v>
      </c>
      <c r="AD5" s="8" t="s">
        <v>85</v>
      </c>
      <c r="AE5" s="8" t="s">
        <v>86</v>
      </c>
      <c r="AF5" s="8" t="s">
        <v>87</v>
      </c>
      <c r="AG5" s="8" t="s">
        <v>88</v>
      </c>
      <c r="AH5" s="8" t="s">
        <v>89</v>
      </c>
      <c r="AI5" s="8">
        <v>0</v>
      </c>
      <c r="AJ5" s="8">
        <v>0</v>
      </c>
      <c r="AK5" s="8">
        <v>1</v>
      </c>
    </row>
    <row r="6" spans="1:37" s="1" customFormat="1" ht="16.5" x14ac:dyDescent="0.2">
      <c r="B6" s="7">
        <v>1002</v>
      </c>
      <c r="C6" s="8" t="s">
        <v>90</v>
      </c>
      <c r="D6" s="9">
        <v>0</v>
      </c>
      <c r="E6" s="13">
        <v>0</v>
      </c>
      <c r="F6" s="13">
        <v>0.4</v>
      </c>
      <c r="G6" s="9">
        <v>1</v>
      </c>
      <c r="H6" s="13">
        <v>1000</v>
      </c>
      <c r="I6" s="13">
        <v>200</v>
      </c>
      <c r="J6" s="13">
        <v>900</v>
      </c>
      <c r="K6" s="13">
        <v>180</v>
      </c>
      <c r="L6" s="13">
        <v>1</v>
      </c>
      <c r="M6" s="13" t="s">
        <v>77</v>
      </c>
      <c r="N6" s="13" t="s">
        <v>78</v>
      </c>
      <c r="O6" s="18"/>
      <c r="P6" s="8">
        <v>75</v>
      </c>
      <c r="Q6" s="22">
        <v>84</v>
      </c>
      <c r="R6" s="8">
        <v>300</v>
      </c>
      <c r="S6" s="8"/>
      <c r="T6" s="8">
        <v>0</v>
      </c>
      <c r="U6" s="8">
        <v>1</v>
      </c>
      <c r="V6" s="8" t="s">
        <v>79</v>
      </c>
      <c r="W6" s="13">
        <v>15</v>
      </c>
      <c r="X6" s="8">
        <v>0</v>
      </c>
      <c r="Y6" s="22" t="s">
        <v>80</v>
      </c>
      <c r="Z6" s="8" t="s">
        <v>81</v>
      </c>
      <c r="AA6" s="8" t="s">
        <v>82</v>
      </c>
      <c r="AB6" s="8" t="s">
        <v>83</v>
      </c>
      <c r="AC6" s="8" t="s">
        <v>84</v>
      </c>
      <c r="AD6" s="8" t="s">
        <v>85</v>
      </c>
      <c r="AE6" s="8" t="s">
        <v>86</v>
      </c>
      <c r="AF6" s="8" t="s">
        <v>87</v>
      </c>
      <c r="AG6" s="8" t="s">
        <v>88</v>
      </c>
      <c r="AH6" s="8" t="s">
        <v>89</v>
      </c>
      <c r="AI6" s="8">
        <v>0</v>
      </c>
      <c r="AJ6" s="8">
        <v>0</v>
      </c>
      <c r="AK6" s="8">
        <v>1</v>
      </c>
    </row>
    <row r="7" spans="1:37" s="1" customFormat="1" ht="16.5" x14ac:dyDescent="0.2">
      <c r="B7" s="7">
        <v>1003</v>
      </c>
      <c r="C7" s="8" t="s">
        <v>91</v>
      </c>
      <c r="D7" s="9">
        <v>0</v>
      </c>
      <c r="E7" s="13">
        <v>0</v>
      </c>
      <c r="F7" s="13">
        <v>0.4</v>
      </c>
      <c r="G7" s="9">
        <v>1</v>
      </c>
      <c r="H7" s="13">
        <v>1000</v>
      </c>
      <c r="I7" s="13">
        <v>200</v>
      </c>
      <c r="J7" s="13">
        <v>900</v>
      </c>
      <c r="K7" s="13">
        <v>180</v>
      </c>
      <c r="L7" s="13">
        <v>1</v>
      </c>
      <c r="M7" s="13" t="s">
        <v>77</v>
      </c>
      <c r="N7" s="13" t="s">
        <v>78</v>
      </c>
      <c r="O7" s="18"/>
      <c r="P7" s="8">
        <v>75</v>
      </c>
      <c r="Q7" s="22">
        <v>84</v>
      </c>
      <c r="R7" s="8">
        <v>300</v>
      </c>
      <c r="S7" s="8"/>
      <c r="T7" s="8">
        <v>0</v>
      </c>
      <c r="U7" s="8">
        <v>1</v>
      </c>
      <c r="V7" s="8" t="s">
        <v>79</v>
      </c>
      <c r="W7" s="13">
        <v>15</v>
      </c>
      <c r="X7" s="8">
        <v>0</v>
      </c>
      <c r="Y7" s="22" t="s">
        <v>80</v>
      </c>
      <c r="Z7" s="8" t="s">
        <v>81</v>
      </c>
      <c r="AA7" s="8" t="s">
        <v>82</v>
      </c>
      <c r="AB7" s="8" t="s">
        <v>83</v>
      </c>
      <c r="AC7" s="8" t="s">
        <v>84</v>
      </c>
      <c r="AD7" s="8" t="s">
        <v>85</v>
      </c>
      <c r="AE7" s="8" t="s">
        <v>86</v>
      </c>
      <c r="AF7" s="8" t="s">
        <v>87</v>
      </c>
      <c r="AG7" s="8" t="s">
        <v>88</v>
      </c>
      <c r="AH7" s="8" t="s">
        <v>89</v>
      </c>
      <c r="AI7" s="8">
        <v>0</v>
      </c>
      <c r="AJ7" s="8">
        <v>0</v>
      </c>
      <c r="AK7" s="8">
        <v>1</v>
      </c>
    </row>
    <row r="8" spans="1:37" s="1" customFormat="1" ht="16.5" x14ac:dyDescent="0.2">
      <c r="B8" s="7">
        <v>1004</v>
      </c>
      <c r="C8" s="8" t="s">
        <v>92</v>
      </c>
      <c r="D8" s="9">
        <v>0</v>
      </c>
      <c r="E8" s="13">
        <v>0</v>
      </c>
      <c r="F8" s="13">
        <v>0.4</v>
      </c>
      <c r="G8" s="9">
        <v>1</v>
      </c>
      <c r="H8" s="13">
        <v>1000</v>
      </c>
      <c r="I8" s="13">
        <v>200</v>
      </c>
      <c r="J8" s="13">
        <v>900</v>
      </c>
      <c r="K8" s="13">
        <v>180</v>
      </c>
      <c r="L8" s="13">
        <v>1</v>
      </c>
      <c r="M8" s="13" t="s">
        <v>77</v>
      </c>
      <c r="N8" s="13" t="s">
        <v>78</v>
      </c>
      <c r="O8" s="18"/>
      <c r="P8" s="8">
        <v>75</v>
      </c>
      <c r="Q8" s="22">
        <v>84</v>
      </c>
      <c r="R8" s="8">
        <v>300</v>
      </c>
      <c r="S8" s="8"/>
      <c r="T8" s="8">
        <v>0</v>
      </c>
      <c r="U8" s="8">
        <v>1</v>
      </c>
      <c r="V8" s="8" t="s">
        <v>79</v>
      </c>
      <c r="W8" s="13">
        <v>15</v>
      </c>
      <c r="X8" s="8">
        <v>0</v>
      </c>
      <c r="Y8" s="22" t="s">
        <v>80</v>
      </c>
      <c r="Z8" s="8" t="s">
        <v>81</v>
      </c>
      <c r="AA8" s="8" t="s">
        <v>82</v>
      </c>
      <c r="AB8" s="8" t="s">
        <v>83</v>
      </c>
      <c r="AC8" s="8" t="s">
        <v>84</v>
      </c>
      <c r="AD8" s="8" t="s">
        <v>85</v>
      </c>
      <c r="AE8" s="8" t="s">
        <v>86</v>
      </c>
      <c r="AF8" s="8" t="s">
        <v>87</v>
      </c>
      <c r="AG8" s="8" t="s">
        <v>88</v>
      </c>
      <c r="AH8" s="8" t="s">
        <v>89</v>
      </c>
      <c r="AI8" s="8">
        <v>0</v>
      </c>
      <c r="AJ8" s="8">
        <v>0</v>
      </c>
      <c r="AK8" s="8">
        <v>1</v>
      </c>
    </row>
    <row r="9" spans="1:37" s="1" customFormat="1" ht="16.5" x14ac:dyDescent="0.2">
      <c r="B9" s="7">
        <v>1005</v>
      </c>
      <c r="C9" s="8" t="s">
        <v>93</v>
      </c>
      <c r="D9" s="9">
        <v>0</v>
      </c>
      <c r="E9" s="13">
        <v>0</v>
      </c>
      <c r="F9" s="13">
        <v>0.4</v>
      </c>
      <c r="G9" s="9">
        <v>1</v>
      </c>
      <c r="H9" s="13">
        <v>1000</v>
      </c>
      <c r="I9" s="13">
        <v>200</v>
      </c>
      <c r="J9" s="13">
        <v>900</v>
      </c>
      <c r="K9" s="13">
        <v>180</v>
      </c>
      <c r="L9" s="13">
        <v>1</v>
      </c>
      <c r="M9" s="13" t="s">
        <v>77</v>
      </c>
      <c r="N9" s="13" t="s">
        <v>78</v>
      </c>
      <c r="O9" s="18"/>
      <c r="P9" s="8">
        <v>75</v>
      </c>
      <c r="Q9" s="22">
        <v>84</v>
      </c>
      <c r="R9" s="8">
        <v>300</v>
      </c>
      <c r="S9" s="8"/>
      <c r="T9" s="8">
        <v>0</v>
      </c>
      <c r="U9" s="8">
        <v>1</v>
      </c>
      <c r="V9" s="8" t="s">
        <v>79</v>
      </c>
      <c r="W9" s="13">
        <v>15</v>
      </c>
      <c r="X9" s="8">
        <v>0</v>
      </c>
      <c r="Y9" s="22" t="s">
        <v>80</v>
      </c>
      <c r="Z9" s="8" t="s">
        <v>81</v>
      </c>
      <c r="AA9" s="8" t="s">
        <v>82</v>
      </c>
      <c r="AB9" s="8" t="s">
        <v>83</v>
      </c>
      <c r="AC9" s="8" t="s">
        <v>84</v>
      </c>
      <c r="AD9" s="8" t="s">
        <v>85</v>
      </c>
      <c r="AE9" s="8" t="s">
        <v>86</v>
      </c>
      <c r="AF9" s="8" t="s">
        <v>87</v>
      </c>
      <c r="AG9" s="8" t="s">
        <v>88</v>
      </c>
      <c r="AH9" s="8" t="s">
        <v>89</v>
      </c>
      <c r="AI9" s="8">
        <v>0</v>
      </c>
      <c r="AJ9" s="8">
        <v>0</v>
      </c>
      <c r="AK9" s="8">
        <v>1</v>
      </c>
    </row>
    <row r="10" spans="1:37" s="1" customFormat="1" ht="16.5" x14ac:dyDescent="0.2">
      <c r="B10" s="7">
        <v>1101</v>
      </c>
      <c r="C10" s="8" t="s">
        <v>188</v>
      </c>
      <c r="D10" s="9">
        <v>0</v>
      </c>
      <c r="E10" s="13">
        <v>0</v>
      </c>
      <c r="F10" s="13">
        <v>0.4</v>
      </c>
      <c r="G10" s="9">
        <v>1</v>
      </c>
      <c r="H10" s="14">
        <v>800</v>
      </c>
      <c r="I10" s="14">
        <v>180</v>
      </c>
      <c r="J10" s="14">
        <v>921</v>
      </c>
      <c r="K10" s="14">
        <v>320</v>
      </c>
      <c r="L10" s="14">
        <v>2.1</v>
      </c>
      <c r="M10" s="14" t="s">
        <v>189</v>
      </c>
      <c r="N10" s="14" t="s">
        <v>190</v>
      </c>
      <c r="O10" s="18"/>
      <c r="P10" s="8">
        <v>64</v>
      </c>
      <c r="Q10" s="22">
        <v>490</v>
      </c>
      <c r="R10" s="8">
        <v>525</v>
      </c>
      <c r="S10" s="8"/>
      <c r="T10" s="8">
        <v>1</v>
      </c>
      <c r="U10" s="8">
        <v>2</v>
      </c>
      <c r="V10" s="8" t="s">
        <v>118</v>
      </c>
      <c r="W10" s="13">
        <v>12</v>
      </c>
      <c r="X10" s="8">
        <v>1001</v>
      </c>
      <c r="Y10" s="22" t="s">
        <v>191</v>
      </c>
      <c r="Z10" s="8" t="s">
        <v>192</v>
      </c>
      <c r="AA10" s="8" t="s">
        <v>193</v>
      </c>
      <c r="AB10" s="8" t="s">
        <v>194</v>
      </c>
      <c r="AC10" s="8" t="s">
        <v>103</v>
      </c>
      <c r="AD10" s="8" t="s">
        <v>85</v>
      </c>
      <c r="AE10" s="8" t="s">
        <v>87</v>
      </c>
      <c r="AF10" s="8" t="s">
        <v>87</v>
      </c>
      <c r="AG10" s="8" t="s">
        <v>88</v>
      </c>
      <c r="AH10" s="8" t="s">
        <v>89</v>
      </c>
      <c r="AI10" s="8">
        <v>0</v>
      </c>
      <c r="AJ10" s="8">
        <v>0</v>
      </c>
      <c r="AK10" s="8">
        <v>1</v>
      </c>
    </row>
    <row r="11" spans="1:37" s="1" customFormat="1" ht="16.5" x14ac:dyDescent="0.2">
      <c r="B11" s="7">
        <v>1201</v>
      </c>
      <c r="C11" s="8" t="s">
        <v>276</v>
      </c>
      <c r="D11" s="9">
        <v>0</v>
      </c>
      <c r="E11" s="13">
        <v>0</v>
      </c>
      <c r="F11" s="13">
        <v>0.4</v>
      </c>
      <c r="G11" s="9">
        <v>3</v>
      </c>
      <c r="H11" s="14">
        <v>800</v>
      </c>
      <c r="I11" s="14">
        <v>170</v>
      </c>
      <c r="J11" s="14">
        <v>2187</v>
      </c>
      <c r="K11" s="14">
        <v>406</v>
      </c>
      <c r="L11" s="14">
        <v>2</v>
      </c>
      <c r="M11" s="14" t="s">
        <v>277</v>
      </c>
      <c r="N11" s="14" t="s">
        <v>278</v>
      </c>
      <c r="O11" s="18"/>
      <c r="P11" s="8">
        <v>56</v>
      </c>
      <c r="Q11" s="22">
        <v>560</v>
      </c>
      <c r="R11" s="8">
        <v>600</v>
      </c>
      <c r="S11" s="8"/>
      <c r="T11" s="8">
        <v>1</v>
      </c>
      <c r="U11" s="8">
        <v>3</v>
      </c>
      <c r="V11" s="8" t="s">
        <v>279</v>
      </c>
      <c r="W11" s="13">
        <v>6</v>
      </c>
      <c r="X11" s="8">
        <v>1001</v>
      </c>
      <c r="Y11" s="22" t="s">
        <v>280</v>
      </c>
      <c r="Z11" s="8" t="s">
        <v>281</v>
      </c>
      <c r="AA11" s="8" t="s">
        <v>282</v>
      </c>
      <c r="AB11" s="8" t="s">
        <v>283</v>
      </c>
      <c r="AC11" s="8" t="s">
        <v>187</v>
      </c>
      <c r="AD11" s="8" t="s">
        <v>85</v>
      </c>
      <c r="AE11" s="8" t="s">
        <v>284</v>
      </c>
      <c r="AF11" s="8" t="s">
        <v>87</v>
      </c>
      <c r="AG11" s="8" t="s">
        <v>88</v>
      </c>
      <c r="AH11" s="8" t="s">
        <v>89</v>
      </c>
      <c r="AI11" s="8">
        <v>0</v>
      </c>
      <c r="AJ11" s="8">
        <v>0</v>
      </c>
      <c r="AK11" s="8">
        <v>1</v>
      </c>
    </row>
    <row r="12" spans="1:37" s="1" customFormat="1" ht="16.5" x14ac:dyDescent="0.2">
      <c r="B12" s="7">
        <v>1301</v>
      </c>
      <c r="C12" s="8" t="s">
        <v>331</v>
      </c>
      <c r="D12" s="9">
        <v>0</v>
      </c>
      <c r="E12" s="13">
        <v>0</v>
      </c>
      <c r="F12" s="13">
        <v>0.4</v>
      </c>
      <c r="G12" s="9">
        <v>7</v>
      </c>
      <c r="H12" s="14">
        <v>800</v>
      </c>
      <c r="I12" s="14">
        <v>400</v>
      </c>
      <c r="J12" s="14">
        <v>4990</v>
      </c>
      <c r="K12" s="14">
        <v>385</v>
      </c>
      <c r="L12" s="14">
        <v>3</v>
      </c>
      <c r="M12" s="14" t="s">
        <v>332</v>
      </c>
      <c r="N12" s="14" t="s">
        <v>333</v>
      </c>
      <c r="O12" s="18" t="s">
        <v>97</v>
      </c>
      <c r="P12" s="8">
        <v>47</v>
      </c>
      <c r="Q12" s="22">
        <v>560</v>
      </c>
      <c r="R12" s="8">
        <v>600</v>
      </c>
      <c r="S12" s="8"/>
      <c r="T12" s="8">
        <v>1</v>
      </c>
      <c r="U12" s="8">
        <v>4</v>
      </c>
      <c r="V12" s="8" t="s">
        <v>118</v>
      </c>
      <c r="W12" s="13">
        <v>5</v>
      </c>
      <c r="X12" s="8">
        <v>1001</v>
      </c>
      <c r="Y12" s="22" t="s">
        <v>334</v>
      </c>
      <c r="Z12" s="8" t="s">
        <v>335</v>
      </c>
      <c r="AA12" s="8" t="s">
        <v>336</v>
      </c>
      <c r="AB12" s="8" t="s">
        <v>337</v>
      </c>
      <c r="AC12" s="8" t="s">
        <v>103</v>
      </c>
      <c r="AD12" s="8" t="s">
        <v>85</v>
      </c>
      <c r="AE12" s="8" t="s">
        <v>338</v>
      </c>
      <c r="AF12" s="8" t="s">
        <v>87</v>
      </c>
      <c r="AG12" s="8" t="s">
        <v>88</v>
      </c>
      <c r="AH12" s="8" t="s">
        <v>114</v>
      </c>
      <c r="AI12" s="8">
        <v>0</v>
      </c>
      <c r="AJ12" s="8">
        <v>0</v>
      </c>
      <c r="AK12" s="8">
        <v>0.8</v>
      </c>
    </row>
    <row r="13" spans="1:37" s="1" customFormat="1" ht="16.5" x14ac:dyDescent="0.2">
      <c r="B13" s="7">
        <v>1401</v>
      </c>
      <c r="C13" s="8" t="s">
        <v>682</v>
      </c>
      <c r="D13" s="9">
        <v>0</v>
      </c>
      <c r="E13" s="13">
        <v>0</v>
      </c>
      <c r="F13" s="13">
        <v>0.4</v>
      </c>
      <c r="G13" s="9">
        <v>3</v>
      </c>
      <c r="H13" s="14">
        <v>2000</v>
      </c>
      <c r="I13" s="14">
        <v>100</v>
      </c>
      <c r="J13" s="14">
        <v>12600</v>
      </c>
      <c r="K13" s="14">
        <v>302</v>
      </c>
      <c r="L13" s="14">
        <v>3</v>
      </c>
      <c r="M13" s="14" t="s">
        <v>260</v>
      </c>
      <c r="N13" s="14" t="s">
        <v>261</v>
      </c>
      <c r="O13" s="18" t="s">
        <v>262</v>
      </c>
      <c r="P13" s="8">
        <v>56</v>
      </c>
      <c r="Q13" s="22">
        <v>100</v>
      </c>
      <c r="R13" s="8">
        <v>300</v>
      </c>
      <c r="S13" s="8"/>
      <c r="T13" s="8">
        <v>0</v>
      </c>
      <c r="U13" s="8">
        <v>3</v>
      </c>
      <c r="V13" s="8" t="s">
        <v>263</v>
      </c>
      <c r="W13" s="13">
        <v>5</v>
      </c>
      <c r="X13" s="8">
        <v>0</v>
      </c>
      <c r="Y13" s="22" t="s">
        <v>264</v>
      </c>
      <c r="Z13" s="8" t="s">
        <v>265</v>
      </c>
      <c r="AA13" s="8" t="s">
        <v>266</v>
      </c>
      <c r="AB13" s="8" t="s">
        <v>267</v>
      </c>
      <c r="AC13" s="8" t="s">
        <v>103</v>
      </c>
      <c r="AD13" s="8" t="s">
        <v>85</v>
      </c>
      <c r="AE13" s="8" t="s">
        <v>268</v>
      </c>
      <c r="AF13" s="8" t="s">
        <v>87</v>
      </c>
      <c r="AG13" s="8" t="s">
        <v>88</v>
      </c>
      <c r="AH13" s="8" t="s">
        <v>114</v>
      </c>
      <c r="AI13" s="8">
        <v>0</v>
      </c>
      <c r="AJ13" s="8">
        <v>0</v>
      </c>
      <c r="AK13" s="8">
        <v>0.3</v>
      </c>
    </row>
    <row r="14" spans="1:37" s="1" customFormat="1" ht="16.5" x14ac:dyDescent="0.2">
      <c r="B14" s="7">
        <v>1011</v>
      </c>
      <c r="C14" s="8" t="s">
        <v>94</v>
      </c>
      <c r="D14" s="9">
        <v>0</v>
      </c>
      <c r="E14" s="13">
        <v>0</v>
      </c>
      <c r="F14" s="13">
        <v>0.4</v>
      </c>
      <c r="G14" s="9">
        <v>3</v>
      </c>
      <c r="H14" s="14">
        <v>6600</v>
      </c>
      <c r="I14" s="14">
        <v>684</v>
      </c>
      <c r="J14" s="14">
        <v>5940</v>
      </c>
      <c r="K14" s="14">
        <v>616</v>
      </c>
      <c r="L14" s="13">
        <v>2.5</v>
      </c>
      <c r="M14" s="13" t="s">
        <v>95</v>
      </c>
      <c r="N14" s="13" t="s">
        <v>96</v>
      </c>
      <c r="O14" s="18" t="s">
        <v>97</v>
      </c>
      <c r="P14" s="8">
        <v>71</v>
      </c>
      <c r="Q14" s="22">
        <v>150</v>
      </c>
      <c r="R14" s="8">
        <v>330</v>
      </c>
      <c r="S14" s="8"/>
      <c r="T14" s="8">
        <v>1</v>
      </c>
      <c r="U14" s="8">
        <v>1</v>
      </c>
      <c r="V14" s="8" t="s">
        <v>98</v>
      </c>
      <c r="W14" s="13">
        <v>6</v>
      </c>
      <c r="X14" s="8">
        <v>1001</v>
      </c>
      <c r="Y14" s="22" t="s">
        <v>99</v>
      </c>
      <c r="Z14" s="8" t="s">
        <v>100</v>
      </c>
      <c r="AA14" s="8" t="s">
        <v>101</v>
      </c>
      <c r="AB14" s="8" t="s">
        <v>102</v>
      </c>
      <c r="AC14" s="8" t="s">
        <v>103</v>
      </c>
      <c r="AD14" s="8" t="s">
        <v>85</v>
      </c>
      <c r="AE14" s="8" t="s">
        <v>104</v>
      </c>
      <c r="AF14" s="8" t="s">
        <v>87</v>
      </c>
      <c r="AG14" s="8" t="s">
        <v>88</v>
      </c>
      <c r="AH14" s="8" t="s">
        <v>89</v>
      </c>
      <c r="AI14" s="8">
        <v>0</v>
      </c>
      <c r="AJ14" s="8">
        <v>0</v>
      </c>
      <c r="AK14" s="8">
        <v>1</v>
      </c>
    </row>
    <row r="15" spans="1:37" s="1" customFormat="1" ht="16.5" x14ac:dyDescent="0.2">
      <c r="B15" s="7">
        <v>1012</v>
      </c>
      <c r="C15" s="8" t="s">
        <v>105</v>
      </c>
      <c r="D15" s="9">
        <v>0</v>
      </c>
      <c r="E15" s="13">
        <v>0</v>
      </c>
      <c r="F15" s="13">
        <v>0.4</v>
      </c>
      <c r="G15" s="9">
        <v>6</v>
      </c>
      <c r="H15" s="14">
        <v>11664</v>
      </c>
      <c r="I15" s="14">
        <v>484</v>
      </c>
      <c r="J15" s="14">
        <v>10498</v>
      </c>
      <c r="K15" s="14">
        <v>436</v>
      </c>
      <c r="L15" s="13">
        <v>1.5</v>
      </c>
      <c r="M15" s="13" t="s">
        <v>106</v>
      </c>
      <c r="N15" s="13" t="s">
        <v>107</v>
      </c>
      <c r="O15" s="18"/>
      <c r="P15" s="8">
        <v>160</v>
      </c>
      <c r="Q15" s="22">
        <v>112</v>
      </c>
      <c r="R15" s="8">
        <v>300</v>
      </c>
      <c r="S15" s="8"/>
      <c r="T15" s="8">
        <v>0</v>
      </c>
      <c r="U15" s="8">
        <v>1</v>
      </c>
      <c r="V15" s="8" t="s">
        <v>108</v>
      </c>
      <c r="W15" s="13">
        <v>6</v>
      </c>
      <c r="X15" s="8">
        <v>0</v>
      </c>
      <c r="Y15" s="22" t="s">
        <v>109</v>
      </c>
      <c r="Z15" s="8" t="s">
        <v>110</v>
      </c>
      <c r="AA15" s="8" t="s">
        <v>111</v>
      </c>
      <c r="AB15" s="8" t="s">
        <v>112</v>
      </c>
      <c r="AC15" s="8" t="s">
        <v>84</v>
      </c>
      <c r="AD15" s="8" t="s">
        <v>85</v>
      </c>
      <c r="AE15" s="8" t="s">
        <v>113</v>
      </c>
      <c r="AF15" s="8" t="s">
        <v>87</v>
      </c>
      <c r="AG15" s="8" t="s">
        <v>88</v>
      </c>
      <c r="AH15" s="8" t="s">
        <v>114</v>
      </c>
      <c r="AI15" s="8">
        <v>0</v>
      </c>
      <c r="AJ15" s="8">
        <v>0</v>
      </c>
      <c r="AK15" s="8">
        <v>0.3</v>
      </c>
    </row>
    <row r="16" spans="1:37" s="1" customFormat="1" ht="16.5" x14ac:dyDescent="0.2">
      <c r="B16" s="7">
        <v>1021</v>
      </c>
      <c r="C16" s="8" t="s">
        <v>115</v>
      </c>
      <c r="D16" s="9">
        <v>1</v>
      </c>
      <c r="E16" s="13">
        <v>0</v>
      </c>
      <c r="F16" s="13">
        <v>0.4</v>
      </c>
      <c r="G16" s="9">
        <v>15</v>
      </c>
      <c r="H16" s="14">
        <v>14700</v>
      </c>
      <c r="I16" s="14">
        <v>488</v>
      </c>
      <c r="J16" s="14">
        <v>13230</v>
      </c>
      <c r="K16" s="14">
        <v>439</v>
      </c>
      <c r="L16" s="14">
        <v>2</v>
      </c>
      <c r="M16" s="14" t="s">
        <v>116</v>
      </c>
      <c r="N16" s="14" t="s">
        <v>117</v>
      </c>
      <c r="O16" s="18"/>
      <c r="P16" s="8">
        <v>70</v>
      </c>
      <c r="Q16" s="22">
        <v>630</v>
      </c>
      <c r="R16" s="8">
        <v>675</v>
      </c>
      <c r="S16" s="8"/>
      <c r="T16" s="8">
        <v>1</v>
      </c>
      <c r="U16" s="8">
        <v>3</v>
      </c>
      <c r="V16" s="8" t="s">
        <v>118</v>
      </c>
      <c r="W16" s="13">
        <v>6</v>
      </c>
      <c r="X16" s="8">
        <v>1002</v>
      </c>
      <c r="Y16" s="22" t="s">
        <v>119</v>
      </c>
      <c r="Z16" s="8" t="s">
        <v>120</v>
      </c>
      <c r="AA16" s="8" t="s">
        <v>121</v>
      </c>
      <c r="AB16" s="8" t="s">
        <v>122</v>
      </c>
      <c r="AC16" s="8" t="s">
        <v>103</v>
      </c>
      <c r="AD16" s="8" t="s">
        <v>85</v>
      </c>
      <c r="AE16" s="8" t="s">
        <v>123</v>
      </c>
      <c r="AF16" s="8" t="s">
        <v>124</v>
      </c>
      <c r="AG16" s="8" t="s">
        <v>88</v>
      </c>
      <c r="AH16" s="8" t="s">
        <v>125</v>
      </c>
      <c r="AI16" s="8">
        <v>0</v>
      </c>
      <c r="AJ16" s="8">
        <v>0</v>
      </c>
      <c r="AK16" s="8">
        <v>0.5</v>
      </c>
    </row>
    <row r="17" spans="2:37" s="1" customFormat="1" ht="16.5" x14ac:dyDescent="0.2">
      <c r="B17" s="7">
        <v>1022</v>
      </c>
      <c r="C17" s="8" t="s">
        <v>126</v>
      </c>
      <c r="D17" s="9">
        <v>1</v>
      </c>
      <c r="E17" s="13">
        <v>0</v>
      </c>
      <c r="F17" s="13">
        <v>0.4</v>
      </c>
      <c r="G17" s="9">
        <v>15</v>
      </c>
      <c r="H17" s="14">
        <v>25200</v>
      </c>
      <c r="I17" s="14">
        <v>286</v>
      </c>
      <c r="J17" s="14">
        <v>22680</v>
      </c>
      <c r="K17" s="14">
        <v>257</v>
      </c>
      <c r="L17" s="14">
        <v>2</v>
      </c>
      <c r="M17" s="14" t="s">
        <v>127</v>
      </c>
      <c r="N17" s="14" t="s">
        <v>128</v>
      </c>
      <c r="O17" s="18"/>
      <c r="P17" s="8">
        <v>75</v>
      </c>
      <c r="Q17" s="22">
        <v>130</v>
      </c>
      <c r="R17" s="8">
        <v>300</v>
      </c>
      <c r="S17" s="8"/>
      <c r="T17" s="8">
        <v>0</v>
      </c>
      <c r="U17" s="8">
        <v>2</v>
      </c>
      <c r="V17" s="8" t="s">
        <v>118</v>
      </c>
      <c r="W17" s="13">
        <v>6</v>
      </c>
      <c r="X17" s="8">
        <v>0</v>
      </c>
      <c r="Y17" s="22" t="s">
        <v>129</v>
      </c>
      <c r="Z17" s="8" t="s">
        <v>130</v>
      </c>
      <c r="AA17" s="8" t="s">
        <v>131</v>
      </c>
      <c r="AB17" s="8" t="s">
        <v>132</v>
      </c>
      <c r="AC17" s="8" t="s">
        <v>103</v>
      </c>
      <c r="AD17" s="8" t="s">
        <v>85</v>
      </c>
      <c r="AE17" s="8" t="s">
        <v>133</v>
      </c>
      <c r="AF17" s="8" t="s">
        <v>87</v>
      </c>
      <c r="AG17" s="8" t="s">
        <v>88</v>
      </c>
      <c r="AH17" s="8" t="s">
        <v>125</v>
      </c>
      <c r="AI17" s="8">
        <v>0</v>
      </c>
      <c r="AJ17" s="8">
        <v>0</v>
      </c>
      <c r="AK17" s="8">
        <v>0.5</v>
      </c>
    </row>
    <row r="18" spans="2:37" s="1" customFormat="1" ht="16.5" x14ac:dyDescent="0.2">
      <c r="B18" s="7">
        <v>1023</v>
      </c>
      <c r="C18" s="8" t="s">
        <v>134</v>
      </c>
      <c r="D18" s="9">
        <v>1</v>
      </c>
      <c r="E18" s="13">
        <v>0</v>
      </c>
      <c r="F18" s="13">
        <v>0.4</v>
      </c>
      <c r="G18" s="9">
        <v>25</v>
      </c>
      <c r="H18" s="14">
        <v>59400</v>
      </c>
      <c r="I18" s="14">
        <v>674</v>
      </c>
      <c r="J18" s="14">
        <v>53460</v>
      </c>
      <c r="K18" s="14">
        <v>607</v>
      </c>
      <c r="L18" s="14">
        <v>2</v>
      </c>
      <c r="M18" s="14" t="s">
        <v>135</v>
      </c>
      <c r="N18" s="14" t="s">
        <v>136</v>
      </c>
      <c r="O18" s="18"/>
      <c r="P18" s="8">
        <v>80</v>
      </c>
      <c r="Q18" s="22">
        <v>130</v>
      </c>
      <c r="R18" s="8">
        <v>300</v>
      </c>
      <c r="S18" s="8"/>
      <c r="T18" s="8">
        <v>0</v>
      </c>
      <c r="U18" s="8">
        <v>1</v>
      </c>
      <c r="V18" s="8" t="s">
        <v>118</v>
      </c>
      <c r="W18" s="13">
        <v>6</v>
      </c>
      <c r="X18" s="8">
        <v>0</v>
      </c>
      <c r="Y18" s="22" t="s">
        <v>137</v>
      </c>
      <c r="Z18" s="8" t="s">
        <v>138</v>
      </c>
      <c r="AA18" s="8" t="s">
        <v>139</v>
      </c>
      <c r="AB18" s="8" t="s">
        <v>140</v>
      </c>
      <c r="AC18" s="8" t="s">
        <v>103</v>
      </c>
      <c r="AD18" s="8" t="s">
        <v>85</v>
      </c>
      <c r="AE18" s="8" t="s">
        <v>141</v>
      </c>
      <c r="AF18" s="8" t="s">
        <v>87</v>
      </c>
      <c r="AG18" s="8" t="s">
        <v>88</v>
      </c>
      <c r="AH18" s="8" t="s">
        <v>125</v>
      </c>
      <c r="AI18" s="8">
        <v>0</v>
      </c>
      <c r="AJ18" s="8">
        <v>0</v>
      </c>
      <c r="AK18" s="8">
        <v>0.5</v>
      </c>
    </row>
    <row r="19" spans="2:37" s="1" customFormat="1" ht="16.5" x14ac:dyDescent="0.2">
      <c r="B19" s="7">
        <v>1024</v>
      </c>
      <c r="C19" s="8" t="s">
        <v>142</v>
      </c>
      <c r="D19" s="9">
        <v>1</v>
      </c>
      <c r="E19" s="13">
        <v>0</v>
      </c>
      <c r="F19" s="13">
        <v>0.4</v>
      </c>
      <c r="G19" s="9">
        <v>30</v>
      </c>
      <c r="H19" s="14">
        <v>81200</v>
      </c>
      <c r="I19" s="14">
        <v>1456</v>
      </c>
      <c r="J19" s="14">
        <v>73080</v>
      </c>
      <c r="K19" s="14">
        <v>1310</v>
      </c>
      <c r="L19" s="14">
        <v>3</v>
      </c>
      <c r="M19" s="14" t="s">
        <v>143</v>
      </c>
      <c r="N19" s="14" t="s">
        <v>144</v>
      </c>
      <c r="O19" s="18"/>
      <c r="P19" s="8">
        <v>75</v>
      </c>
      <c r="Q19" s="22">
        <v>130</v>
      </c>
      <c r="R19" s="8">
        <v>300</v>
      </c>
      <c r="S19" s="8"/>
      <c r="T19" s="8">
        <v>0</v>
      </c>
      <c r="U19" s="8">
        <v>1</v>
      </c>
      <c r="V19" s="8" t="s">
        <v>118</v>
      </c>
      <c r="W19" s="13">
        <v>6</v>
      </c>
      <c r="X19" s="8">
        <v>0</v>
      </c>
      <c r="Y19" s="22" t="s">
        <v>145</v>
      </c>
      <c r="Z19" s="8" t="s">
        <v>146</v>
      </c>
      <c r="AA19" s="8" t="s">
        <v>147</v>
      </c>
      <c r="AB19" s="8" t="s">
        <v>148</v>
      </c>
      <c r="AC19" s="8" t="s">
        <v>103</v>
      </c>
      <c r="AD19" s="8" t="s">
        <v>85</v>
      </c>
      <c r="AE19" s="8" t="s">
        <v>133</v>
      </c>
      <c r="AF19" s="8" t="s">
        <v>87</v>
      </c>
      <c r="AG19" s="8" t="s">
        <v>88</v>
      </c>
      <c r="AH19" s="8" t="s">
        <v>125</v>
      </c>
      <c r="AI19" s="8">
        <v>0</v>
      </c>
      <c r="AJ19" s="8">
        <v>0</v>
      </c>
      <c r="AK19" s="8">
        <v>0.5</v>
      </c>
    </row>
    <row r="20" spans="2:37" s="1" customFormat="1" ht="16.5" x14ac:dyDescent="0.2">
      <c r="B20" s="7">
        <v>1025</v>
      </c>
      <c r="C20" s="8" t="s">
        <v>149</v>
      </c>
      <c r="D20" s="9">
        <v>1</v>
      </c>
      <c r="E20" s="13">
        <v>0</v>
      </c>
      <c r="F20" s="13">
        <v>0.4</v>
      </c>
      <c r="G20" s="9">
        <v>30</v>
      </c>
      <c r="H20" s="14">
        <v>72800</v>
      </c>
      <c r="I20" s="14">
        <v>1092</v>
      </c>
      <c r="J20" s="14">
        <v>65520</v>
      </c>
      <c r="K20" s="14">
        <v>983</v>
      </c>
      <c r="L20" s="14">
        <v>2</v>
      </c>
      <c r="M20" s="14" t="s">
        <v>150</v>
      </c>
      <c r="N20" s="14" t="s">
        <v>151</v>
      </c>
      <c r="O20" s="18"/>
      <c r="P20" s="8">
        <v>85</v>
      </c>
      <c r="Q20" s="22">
        <v>130</v>
      </c>
      <c r="R20" s="8">
        <v>300</v>
      </c>
      <c r="S20" s="8" t="s">
        <v>152</v>
      </c>
      <c r="T20" s="8">
        <v>0</v>
      </c>
      <c r="U20" s="8">
        <v>1</v>
      </c>
      <c r="V20" s="8" t="s">
        <v>118</v>
      </c>
      <c r="W20" s="13">
        <v>6</v>
      </c>
      <c r="X20" s="8">
        <v>0</v>
      </c>
      <c r="Y20" s="22" t="s">
        <v>153</v>
      </c>
      <c r="Z20" s="8" t="s">
        <v>154</v>
      </c>
      <c r="AA20" s="8" t="s">
        <v>155</v>
      </c>
      <c r="AB20" s="8" t="s">
        <v>156</v>
      </c>
      <c r="AC20" s="8" t="s">
        <v>103</v>
      </c>
      <c r="AD20" s="8" t="s">
        <v>85</v>
      </c>
      <c r="AE20" s="8" t="s">
        <v>133</v>
      </c>
      <c r="AF20" s="8" t="s">
        <v>87</v>
      </c>
      <c r="AG20" s="8" t="s">
        <v>88</v>
      </c>
      <c r="AH20" s="8" t="s">
        <v>125</v>
      </c>
      <c r="AI20" s="8">
        <v>0</v>
      </c>
      <c r="AJ20" s="8">
        <v>0</v>
      </c>
      <c r="AK20" s="8">
        <v>0.5</v>
      </c>
    </row>
    <row r="21" spans="2:37" s="1" customFormat="1" ht="16.5" x14ac:dyDescent="0.2">
      <c r="B21" s="7">
        <v>1026</v>
      </c>
      <c r="C21" s="8" t="s">
        <v>157</v>
      </c>
      <c r="D21" s="9">
        <v>1</v>
      </c>
      <c r="E21" s="13">
        <v>0</v>
      </c>
      <c r="F21" s="13">
        <v>0.4</v>
      </c>
      <c r="G21" s="9">
        <v>20</v>
      </c>
      <c r="H21" s="14">
        <v>34684</v>
      </c>
      <c r="I21" s="14">
        <v>419</v>
      </c>
      <c r="J21" s="14">
        <v>31216</v>
      </c>
      <c r="K21" s="14">
        <v>377</v>
      </c>
      <c r="L21" s="14">
        <v>2</v>
      </c>
      <c r="M21" s="14" t="s">
        <v>158</v>
      </c>
      <c r="N21" s="14" t="s">
        <v>159</v>
      </c>
      <c r="O21" s="18"/>
      <c r="P21" s="8">
        <v>75</v>
      </c>
      <c r="Q21" s="22">
        <v>130</v>
      </c>
      <c r="R21" s="8">
        <v>300</v>
      </c>
      <c r="S21" s="8"/>
      <c r="T21" s="8">
        <v>0</v>
      </c>
      <c r="U21" s="8">
        <v>1</v>
      </c>
      <c r="V21" s="8" t="s">
        <v>118</v>
      </c>
      <c r="W21" s="13">
        <v>6</v>
      </c>
      <c r="X21" s="8">
        <v>0</v>
      </c>
      <c r="Y21" s="22" t="s">
        <v>160</v>
      </c>
      <c r="Z21" s="8" t="s">
        <v>161</v>
      </c>
      <c r="AA21" s="8" t="s">
        <v>162</v>
      </c>
      <c r="AB21" s="8" t="s">
        <v>163</v>
      </c>
      <c r="AC21" s="8" t="s">
        <v>103</v>
      </c>
      <c r="AD21" s="8" t="s">
        <v>85</v>
      </c>
      <c r="AE21" s="8" t="s">
        <v>164</v>
      </c>
      <c r="AF21" s="8" t="s">
        <v>87</v>
      </c>
      <c r="AG21" s="8" t="s">
        <v>88</v>
      </c>
      <c r="AH21" s="8" t="s">
        <v>125</v>
      </c>
      <c r="AI21" s="8">
        <v>0</v>
      </c>
      <c r="AJ21" s="8">
        <v>0</v>
      </c>
      <c r="AK21" s="8">
        <v>0.5</v>
      </c>
    </row>
    <row r="22" spans="2:37" s="1" customFormat="1" ht="16.5" x14ac:dyDescent="0.2">
      <c r="B22" s="7">
        <v>1027</v>
      </c>
      <c r="C22" s="8" t="s">
        <v>165</v>
      </c>
      <c r="D22" s="9">
        <v>1</v>
      </c>
      <c r="E22" s="13">
        <v>0</v>
      </c>
      <c r="F22" s="13">
        <v>0.4</v>
      </c>
      <c r="G22" s="9">
        <v>20</v>
      </c>
      <c r="H22" s="14">
        <v>31096</v>
      </c>
      <c r="I22" s="14">
        <v>467</v>
      </c>
      <c r="J22" s="14">
        <v>27986</v>
      </c>
      <c r="K22" s="14">
        <v>420</v>
      </c>
      <c r="L22" s="14">
        <v>2</v>
      </c>
      <c r="M22" s="14" t="s">
        <v>166</v>
      </c>
      <c r="N22" s="14" t="s">
        <v>167</v>
      </c>
      <c r="O22" s="18"/>
      <c r="P22" s="8">
        <v>75</v>
      </c>
      <c r="Q22" s="22">
        <v>130</v>
      </c>
      <c r="R22" s="8">
        <v>300</v>
      </c>
      <c r="S22" s="8"/>
      <c r="T22" s="8">
        <v>0</v>
      </c>
      <c r="U22" s="8">
        <v>1</v>
      </c>
      <c r="V22" s="8" t="s">
        <v>118</v>
      </c>
      <c r="W22" s="13">
        <v>6</v>
      </c>
      <c r="X22" s="8">
        <v>0</v>
      </c>
      <c r="Y22" s="22" t="s">
        <v>168</v>
      </c>
      <c r="Z22" s="8" t="s">
        <v>169</v>
      </c>
      <c r="AA22" s="8" t="s">
        <v>170</v>
      </c>
      <c r="AB22" s="8" t="s">
        <v>171</v>
      </c>
      <c r="AC22" s="8" t="s">
        <v>103</v>
      </c>
      <c r="AD22" s="8" t="s">
        <v>85</v>
      </c>
      <c r="AE22" s="8" t="s">
        <v>172</v>
      </c>
      <c r="AF22" s="8" t="s">
        <v>87</v>
      </c>
      <c r="AG22" s="8" t="s">
        <v>88</v>
      </c>
      <c r="AH22" s="8" t="s">
        <v>125</v>
      </c>
      <c r="AI22" s="8">
        <v>0</v>
      </c>
      <c r="AJ22" s="8">
        <v>0</v>
      </c>
      <c r="AK22" s="8">
        <v>0.5</v>
      </c>
    </row>
    <row r="23" spans="2:37" s="1" customFormat="1" ht="16.5" x14ac:dyDescent="0.2">
      <c r="B23" s="7">
        <v>1028</v>
      </c>
      <c r="C23" s="8" t="s">
        <v>173</v>
      </c>
      <c r="D23" s="9">
        <v>1</v>
      </c>
      <c r="E23" s="13">
        <v>0</v>
      </c>
      <c r="F23" s="13">
        <v>0.4</v>
      </c>
      <c r="G23" s="9">
        <v>25</v>
      </c>
      <c r="H23" s="14">
        <v>44100</v>
      </c>
      <c r="I23" s="14">
        <v>738</v>
      </c>
      <c r="J23" s="14">
        <v>39690</v>
      </c>
      <c r="K23" s="14">
        <v>664</v>
      </c>
      <c r="L23" s="14">
        <v>2</v>
      </c>
      <c r="M23" s="14" t="s">
        <v>174</v>
      </c>
      <c r="N23" s="14" t="s">
        <v>175</v>
      </c>
      <c r="O23" s="18"/>
      <c r="P23" s="8">
        <v>75</v>
      </c>
      <c r="Q23" s="22">
        <v>130</v>
      </c>
      <c r="R23" s="8">
        <v>300</v>
      </c>
      <c r="S23" s="8"/>
      <c r="T23" s="8">
        <v>0</v>
      </c>
      <c r="U23" s="8">
        <v>1</v>
      </c>
      <c r="V23" s="8" t="s">
        <v>118</v>
      </c>
      <c r="W23" s="13">
        <v>6</v>
      </c>
      <c r="X23" s="8">
        <v>0</v>
      </c>
      <c r="Y23" s="22" t="s">
        <v>176</v>
      </c>
      <c r="Z23" s="8" t="s">
        <v>177</v>
      </c>
      <c r="AA23" s="8" t="s">
        <v>178</v>
      </c>
      <c r="AB23" s="8" t="s">
        <v>179</v>
      </c>
      <c r="AC23" s="8" t="s">
        <v>103</v>
      </c>
      <c r="AD23" s="8" t="s">
        <v>85</v>
      </c>
      <c r="AE23" s="8" t="s">
        <v>133</v>
      </c>
      <c r="AF23" s="8" t="s">
        <v>87</v>
      </c>
      <c r="AG23" s="8" t="s">
        <v>88</v>
      </c>
      <c r="AH23" s="8" t="s">
        <v>125</v>
      </c>
      <c r="AI23" s="8">
        <v>0</v>
      </c>
      <c r="AJ23" s="8">
        <v>0</v>
      </c>
      <c r="AK23" s="8">
        <v>0.5</v>
      </c>
    </row>
    <row r="24" spans="2:37" s="1" customFormat="1" ht="16.5" x14ac:dyDescent="0.2">
      <c r="B24" s="7">
        <v>2001</v>
      </c>
      <c r="C24" s="8" t="s">
        <v>180</v>
      </c>
      <c r="D24" s="9">
        <v>0</v>
      </c>
      <c r="E24" s="13">
        <v>0</v>
      </c>
      <c r="F24" s="13">
        <v>0.4</v>
      </c>
      <c r="G24" s="9">
        <v>4</v>
      </c>
      <c r="H24" s="14">
        <v>3492</v>
      </c>
      <c r="I24" s="14">
        <v>971</v>
      </c>
      <c r="J24" s="14">
        <v>3143</v>
      </c>
      <c r="K24" s="14">
        <v>874</v>
      </c>
      <c r="L24" s="14">
        <v>5</v>
      </c>
      <c r="M24" s="14" t="s">
        <v>181</v>
      </c>
      <c r="N24" s="14" t="s">
        <v>182</v>
      </c>
      <c r="O24" s="18" t="s">
        <v>97</v>
      </c>
      <c r="P24" s="8">
        <v>48</v>
      </c>
      <c r="Q24" s="22">
        <v>840</v>
      </c>
      <c r="R24" s="8">
        <v>900</v>
      </c>
      <c r="S24" s="8"/>
      <c r="T24" s="8">
        <v>1</v>
      </c>
      <c r="U24" s="8">
        <v>2</v>
      </c>
      <c r="V24" s="8" t="s">
        <v>118</v>
      </c>
      <c r="W24" s="13">
        <v>8</v>
      </c>
      <c r="X24" s="8">
        <v>1001</v>
      </c>
      <c r="Y24" s="22" t="s">
        <v>183</v>
      </c>
      <c r="Z24" s="8" t="s">
        <v>184</v>
      </c>
      <c r="AA24" s="8" t="s">
        <v>185</v>
      </c>
      <c r="AB24" s="8" t="s">
        <v>186</v>
      </c>
      <c r="AC24" s="8" t="s">
        <v>187</v>
      </c>
      <c r="AD24" s="8" t="s">
        <v>85</v>
      </c>
      <c r="AE24" s="8" t="s">
        <v>87</v>
      </c>
      <c r="AF24" s="8" t="s">
        <v>87</v>
      </c>
      <c r="AG24" s="8" t="s">
        <v>88</v>
      </c>
      <c r="AH24" s="8" t="s">
        <v>89</v>
      </c>
      <c r="AI24" s="8">
        <v>0</v>
      </c>
      <c r="AJ24" s="8">
        <v>0</v>
      </c>
      <c r="AK24" s="8">
        <v>1</v>
      </c>
    </row>
    <row r="25" spans="2:37" s="1" customFormat="1" ht="16.5" x14ac:dyDescent="0.2">
      <c r="B25" s="7">
        <v>2002</v>
      </c>
      <c r="C25" s="8" t="s">
        <v>188</v>
      </c>
      <c r="D25" s="9">
        <v>0</v>
      </c>
      <c r="E25" s="13">
        <v>0</v>
      </c>
      <c r="F25" s="13">
        <v>0.4</v>
      </c>
      <c r="G25" s="9">
        <v>1</v>
      </c>
      <c r="H25" s="14">
        <v>1023</v>
      </c>
      <c r="I25" s="14">
        <v>356</v>
      </c>
      <c r="J25" s="14">
        <v>921</v>
      </c>
      <c r="K25" s="14">
        <v>320</v>
      </c>
      <c r="L25" s="14">
        <v>2.1</v>
      </c>
      <c r="M25" s="14" t="s">
        <v>189</v>
      </c>
      <c r="N25" s="14" t="s">
        <v>190</v>
      </c>
      <c r="O25" s="18"/>
      <c r="P25" s="8">
        <v>64</v>
      </c>
      <c r="Q25" s="22">
        <v>490</v>
      </c>
      <c r="R25" s="8">
        <v>525</v>
      </c>
      <c r="S25" s="8"/>
      <c r="T25" s="8">
        <v>1</v>
      </c>
      <c r="U25" s="8">
        <v>2</v>
      </c>
      <c r="V25" s="8" t="s">
        <v>118</v>
      </c>
      <c r="W25" s="13">
        <v>12</v>
      </c>
      <c r="X25" s="8">
        <v>1001</v>
      </c>
      <c r="Y25" s="22" t="s">
        <v>191</v>
      </c>
      <c r="Z25" s="8" t="s">
        <v>192</v>
      </c>
      <c r="AA25" s="8" t="s">
        <v>193</v>
      </c>
      <c r="AB25" s="8" t="s">
        <v>194</v>
      </c>
      <c r="AC25" s="8" t="s">
        <v>103</v>
      </c>
      <c r="AD25" s="8" t="s">
        <v>85</v>
      </c>
      <c r="AE25" s="8" t="s">
        <v>87</v>
      </c>
      <c r="AF25" s="8" t="s">
        <v>87</v>
      </c>
      <c r="AG25" s="8" t="s">
        <v>88</v>
      </c>
      <c r="AH25" s="8" t="s">
        <v>89</v>
      </c>
      <c r="AI25" s="8">
        <v>0</v>
      </c>
      <c r="AJ25" s="8">
        <v>0</v>
      </c>
      <c r="AK25" s="8">
        <v>1</v>
      </c>
    </row>
    <row r="26" spans="2:37" s="1" customFormat="1" ht="16.5" x14ac:dyDescent="0.2">
      <c r="B26" s="7">
        <v>2003</v>
      </c>
      <c r="C26" s="8" t="s">
        <v>188</v>
      </c>
      <c r="D26" s="9">
        <v>0</v>
      </c>
      <c r="E26" s="13">
        <v>0</v>
      </c>
      <c r="F26" s="13">
        <v>0.4</v>
      </c>
      <c r="G26" s="9">
        <v>1</v>
      </c>
      <c r="H26" s="14">
        <v>1023</v>
      </c>
      <c r="I26" s="14">
        <v>356</v>
      </c>
      <c r="J26" s="14">
        <v>921</v>
      </c>
      <c r="K26" s="14">
        <v>320</v>
      </c>
      <c r="L26" s="14">
        <v>2.1</v>
      </c>
      <c r="M26" s="14" t="s">
        <v>189</v>
      </c>
      <c r="N26" s="14" t="s">
        <v>190</v>
      </c>
      <c r="O26" s="18"/>
      <c r="P26" s="8">
        <v>64</v>
      </c>
      <c r="Q26" s="22">
        <v>490</v>
      </c>
      <c r="R26" s="8">
        <v>525</v>
      </c>
      <c r="S26" s="8"/>
      <c r="T26" s="8">
        <v>1</v>
      </c>
      <c r="U26" s="8">
        <v>2</v>
      </c>
      <c r="V26" s="8" t="s">
        <v>118</v>
      </c>
      <c r="W26" s="13">
        <v>12</v>
      </c>
      <c r="X26" s="8">
        <v>1001</v>
      </c>
      <c r="Y26" s="22" t="s">
        <v>191</v>
      </c>
      <c r="Z26" s="8" t="s">
        <v>192</v>
      </c>
      <c r="AA26" s="8" t="s">
        <v>193</v>
      </c>
      <c r="AB26" s="8" t="s">
        <v>194</v>
      </c>
      <c r="AC26" s="8" t="s">
        <v>103</v>
      </c>
      <c r="AD26" s="8" t="s">
        <v>85</v>
      </c>
      <c r="AE26" s="8" t="s">
        <v>87</v>
      </c>
      <c r="AF26" s="8" t="s">
        <v>87</v>
      </c>
      <c r="AG26" s="8" t="s">
        <v>88</v>
      </c>
      <c r="AH26" s="8" t="s">
        <v>89</v>
      </c>
      <c r="AI26" s="8">
        <v>0</v>
      </c>
      <c r="AJ26" s="8">
        <v>0</v>
      </c>
      <c r="AK26" s="8">
        <v>1</v>
      </c>
    </row>
    <row r="27" spans="2:37" s="1" customFormat="1" ht="16.5" x14ac:dyDescent="0.2">
      <c r="B27" s="7">
        <v>2004</v>
      </c>
      <c r="C27" s="8" t="s">
        <v>188</v>
      </c>
      <c r="D27" s="9">
        <v>0</v>
      </c>
      <c r="E27" s="13">
        <v>0</v>
      </c>
      <c r="F27" s="13">
        <v>0.4</v>
      </c>
      <c r="G27" s="9">
        <v>1</v>
      </c>
      <c r="H27" s="14">
        <v>1023</v>
      </c>
      <c r="I27" s="14">
        <v>356</v>
      </c>
      <c r="J27" s="14">
        <v>921</v>
      </c>
      <c r="K27" s="14">
        <v>320</v>
      </c>
      <c r="L27" s="14">
        <v>2.1</v>
      </c>
      <c r="M27" s="14" t="s">
        <v>189</v>
      </c>
      <c r="N27" s="14" t="s">
        <v>190</v>
      </c>
      <c r="O27" s="18"/>
      <c r="P27" s="8">
        <v>64</v>
      </c>
      <c r="Q27" s="22">
        <v>490</v>
      </c>
      <c r="R27" s="8">
        <v>525</v>
      </c>
      <c r="S27" s="8"/>
      <c r="T27" s="8">
        <v>1</v>
      </c>
      <c r="U27" s="8">
        <v>2</v>
      </c>
      <c r="V27" s="8" t="s">
        <v>118</v>
      </c>
      <c r="W27" s="13">
        <v>12</v>
      </c>
      <c r="X27" s="8">
        <v>1001</v>
      </c>
      <c r="Y27" s="22" t="s">
        <v>191</v>
      </c>
      <c r="Z27" s="8" t="s">
        <v>192</v>
      </c>
      <c r="AA27" s="8" t="s">
        <v>193</v>
      </c>
      <c r="AB27" s="8" t="s">
        <v>194</v>
      </c>
      <c r="AC27" s="8" t="s">
        <v>103</v>
      </c>
      <c r="AD27" s="8" t="s">
        <v>85</v>
      </c>
      <c r="AE27" s="8" t="s">
        <v>87</v>
      </c>
      <c r="AF27" s="8" t="s">
        <v>87</v>
      </c>
      <c r="AG27" s="8" t="s">
        <v>88</v>
      </c>
      <c r="AH27" s="8" t="s">
        <v>89</v>
      </c>
      <c r="AI27" s="8">
        <v>0</v>
      </c>
      <c r="AJ27" s="8">
        <v>0</v>
      </c>
      <c r="AK27" s="8">
        <v>1</v>
      </c>
    </row>
    <row r="28" spans="2:37" s="1" customFormat="1" ht="16.5" x14ac:dyDescent="0.2">
      <c r="B28" s="7">
        <v>2005</v>
      </c>
      <c r="C28" s="8" t="s">
        <v>188</v>
      </c>
      <c r="D28" s="9">
        <v>0</v>
      </c>
      <c r="E28" s="13">
        <v>0</v>
      </c>
      <c r="F28" s="13">
        <v>0.4</v>
      </c>
      <c r="G28" s="9">
        <v>1</v>
      </c>
      <c r="H28" s="14">
        <v>1023</v>
      </c>
      <c r="I28" s="14">
        <v>356</v>
      </c>
      <c r="J28" s="14">
        <v>921</v>
      </c>
      <c r="K28" s="14">
        <v>320</v>
      </c>
      <c r="L28" s="14">
        <v>2.1</v>
      </c>
      <c r="M28" s="14" t="s">
        <v>189</v>
      </c>
      <c r="N28" s="14" t="s">
        <v>190</v>
      </c>
      <c r="O28" s="18"/>
      <c r="P28" s="8">
        <v>64</v>
      </c>
      <c r="Q28" s="22">
        <v>490</v>
      </c>
      <c r="R28" s="8">
        <v>525</v>
      </c>
      <c r="S28" s="8"/>
      <c r="T28" s="8">
        <v>1</v>
      </c>
      <c r="U28" s="8">
        <v>2</v>
      </c>
      <c r="V28" s="8" t="s">
        <v>118</v>
      </c>
      <c r="W28" s="13">
        <v>12</v>
      </c>
      <c r="X28" s="8">
        <v>1001</v>
      </c>
      <c r="Y28" s="22" t="s">
        <v>191</v>
      </c>
      <c r="Z28" s="8" t="s">
        <v>192</v>
      </c>
      <c r="AA28" s="8" t="s">
        <v>193</v>
      </c>
      <c r="AB28" s="8" t="s">
        <v>194</v>
      </c>
      <c r="AC28" s="8" t="s">
        <v>103</v>
      </c>
      <c r="AD28" s="8" t="s">
        <v>85</v>
      </c>
      <c r="AE28" s="8" t="s">
        <v>87</v>
      </c>
      <c r="AF28" s="8" t="s">
        <v>87</v>
      </c>
      <c r="AG28" s="8" t="s">
        <v>88</v>
      </c>
      <c r="AH28" s="8" t="s">
        <v>89</v>
      </c>
      <c r="AI28" s="8">
        <v>0</v>
      </c>
      <c r="AJ28" s="8">
        <v>0</v>
      </c>
      <c r="AK28" s="8">
        <v>1</v>
      </c>
    </row>
    <row r="29" spans="2:37" s="1" customFormat="1" ht="16.5" x14ac:dyDescent="0.2">
      <c r="B29" s="7">
        <v>2006</v>
      </c>
      <c r="C29" s="8" t="s">
        <v>188</v>
      </c>
      <c r="D29" s="9">
        <v>0</v>
      </c>
      <c r="E29" s="13">
        <v>0</v>
      </c>
      <c r="F29" s="13">
        <v>0.4</v>
      </c>
      <c r="G29" s="9">
        <v>1</v>
      </c>
      <c r="H29" s="14">
        <v>1023</v>
      </c>
      <c r="I29" s="14">
        <v>356</v>
      </c>
      <c r="J29" s="14">
        <v>921</v>
      </c>
      <c r="K29" s="14">
        <v>320</v>
      </c>
      <c r="L29" s="14">
        <v>2.1</v>
      </c>
      <c r="M29" s="14" t="s">
        <v>189</v>
      </c>
      <c r="N29" s="14" t="s">
        <v>190</v>
      </c>
      <c r="O29" s="18"/>
      <c r="P29" s="8">
        <v>64</v>
      </c>
      <c r="Q29" s="22">
        <v>490</v>
      </c>
      <c r="R29" s="8">
        <v>525</v>
      </c>
      <c r="S29" s="8"/>
      <c r="T29" s="8">
        <v>1</v>
      </c>
      <c r="U29" s="8">
        <v>2</v>
      </c>
      <c r="V29" s="8" t="s">
        <v>118</v>
      </c>
      <c r="W29" s="13">
        <v>12</v>
      </c>
      <c r="X29" s="8">
        <v>1001</v>
      </c>
      <c r="Y29" s="22" t="s">
        <v>191</v>
      </c>
      <c r="Z29" s="8" t="s">
        <v>192</v>
      </c>
      <c r="AA29" s="8" t="s">
        <v>193</v>
      </c>
      <c r="AB29" s="8" t="s">
        <v>194</v>
      </c>
      <c r="AC29" s="8" t="s">
        <v>103</v>
      </c>
      <c r="AD29" s="8" t="s">
        <v>85</v>
      </c>
      <c r="AE29" s="8" t="s">
        <v>87</v>
      </c>
      <c r="AF29" s="8" t="s">
        <v>87</v>
      </c>
      <c r="AG29" s="8" t="s">
        <v>88</v>
      </c>
      <c r="AH29" s="8" t="s">
        <v>89</v>
      </c>
      <c r="AI29" s="8">
        <v>0</v>
      </c>
      <c r="AJ29" s="8">
        <v>0</v>
      </c>
      <c r="AK29" s="8">
        <v>1</v>
      </c>
    </row>
    <row r="30" spans="2:37" s="1" customFormat="1" ht="16.5" x14ac:dyDescent="0.2">
      <c r="B30" s="7">
        <v>2012</v>
      </c>
      <c r="C30" s="8" t="s">
        <v>195</v>
      </c>
      <c r="D30" s="9">
        <v>0</v>
      </c>
      <c r="E30" s="13">
        <v>0</v>
      </c>
      <c r="F30" s="13">
        <v>0.4</v>
      </c>
      <c r="G30" s="9">
        <v>7</v>
      </c>
      <c r="H30" s="14">
        <v>20280</v>
      </c>
      <c r="I30" s="14">
        <v>481</v>
      </c>
      <c r="J30" s="14">
        <v>18252</v>
      </c>
      <c r="K30" s="14">
        <v>433</v>
      </c>
      <c r="L30" s="14">
        <v>5</v>
      </c>
      <c r="M30" s="14" t="s">
        <v>196</v>
      </c>
      <c r="N30" s="14" t="s">
        <v>197</v>
      </c>
      <c r="O30" s="18"/>
      <c r="P30" s="8">
        <v>48</v>
      </c>
      <c r="Q30" s="22">
        <v>80</v>
      </c>
      <c r="R30" s="8">
        <v>300</v>
      </c>
      <c r="S30" s="8" t="s">
        <v>198</v>
      </c>
      <c r="T30" s="8">
        <v>0</v>
      </c>
      <c r="U30" s="8">
        <v>2</v>
      </c>
      <c r="V30" s="8" t="s">
        <v>79</v>
      </c>
      <c r="W30" s="13">
        <v>5</v>
      </c>
      <c r="X30" s="8">
        <v>0</v>
      </c>
      <c r="Y30" s="22" t="s">
        <v>199</v>
      </c>
      <c r="Z30" s="8" t="s">
        <v>200</v>
      </c>
      <c r="AA30" s="8" t="s">
        <v>201</v>
      </c>
      <c r="AB30" s="8" t="s">
        <v>202</v>
      </c>
      <c r="AC30" s="8" t="s">
        <v>103</v>
      </c>
      <c r="AD30" s="8" t="s">
        <v>85</v>
      </c>
      <c r="AE30" s="8" t="s">
        <v>203</v>
      </c>
      <c r="AF30" s="8" t="s">
        <v>87</v>
      </c>
      <c r="AG30" s="8" t="s">
        <v>88</v>
      </c>
      <c r="AH30" s="8" t="s">
        <v>114</v>
      </c>
      <c r="AI30" s="8">
        <v>0</v>
      </c>
      <c r="AJ30" s="8">
        <v>0</v>
      </c>
      <c r="AK30" s="8">
        <v>0.3</v>
      </c>
    </row>
    <row r="31" spans="2:37" s="1" customFormat="1" ht="16.5" x14ac:dyDescent="0.2">
      <c r="B31" s="7">
        <v>2021</v>
      </c>
      <c r="C31" s="8" t="s">
        <v>204</v>
      </c>
      <c r="D31" s="9">
        <v>1</v>
      </c>
      <c r="E31" s="13">
        <v>0</v>
      </c>
      <c r="F31" s="13">
        <v>0.4</v>
      </c>
      <c r="G31" s="9">
        <v>20</v>
      </c>
      <c r="H31" s="14">
        <v>23920</v>
      </c>
      <c r="I31" s="14">
        <v>598</v>
      </c>
      <c r="J31" s="14">
        <v>21528</v>
      </c>
      <c r="K31" s="14">
        <v>538</v>
      </c>
      <c r="L31" s="14">
        <v>2</v>
      </c>
      <c r="M31" s="14" t="s">
        <v>205</v>
      </c>
      <c r="N31" s="14" t="s">
        <v>206</v>
      </c>
      <c r="O31" s="18"/>
      <c r="P31" s="8">
        <v>70</v>
      </c>
      <c r="Q31" s="22">
        <v>350</v>
      </c>
      <c r="R31" s="8">
        <v>375</v>
      </c>
      <c r="S31" s="8"/>
      <c r="T31" s="8">
        <v>1</v>
      </c>
      <c r="U31" s="8">
        <v>2</v>
      </c>
      <c r="V31" s="8" t="s">
        <v>118</v>
      </c>
      <c r="W31" s="13">
        <v>6</v>
      </c>
      <c r="X31" s="8">
        <v>1002</v>
      </c>
      <c r="Y31" s="22" t="s">
        <v>207</v>
      </c>
      <c r="Z31" s="8" t="s">
        <v>208</v>
      </c>
      <c r="AA31" s="8" t="s">
        <v>209</v>
      </c>
      <c r="AB31" s="8" t="s">
        <v>210</v>
      </c>
      <c r="AC31" s="8" t="s">
        <v>103</v>
      </c>
      <c r="AD31" s="8" t="s">
        <v>85</v>
      </c>
      <c r="AE31" s="8" t="s">
        <v>211</v>
      </c>
      <c r="AF31" s="8" t="s">
        <v>87</v>
      </c>
      <c r="AG31" s="8" t="s">
        <v>88</v>
      </c>
      <c r="AH31" s="8" t="s">
        <v>125</v>
      </c>
      <c r="AI31" s="8">
        <v>0</v>
      </c>
      <c r="AJ31" s="8">
        <v>0</v>
      </c>
      <c r="AK31" s="8">
        <v>0.5</v>
      </c>
    </row>
    <row r="32" spans="2:37" s="1" customFormat="1" ht="16.5" x14ac:dyDescent="0.2">
      <c r="B32" s="7">
        <v>2022</v>
      </c>
      <c r="C32" s="8" t="s">
        <v>212</v>
      </c>
      <c r="D32" s="9">
        <v>1</v>
      </c>
      <c r="E32" s="13">
        <v>0</v>
      </c>
      <c r="F32" s="13">
        <v>0.4</v>
      </c>
      <c r="G32" s="9">
        <v>25</v>
      </c>
      <c r="H32" s="14">
        <v>28800</v>
      </c>
      <c r="I32" s="14">
        <v>1134</v>
      </c>
      <c r="J32" s="14">
        <v>25920</v>
      </c>
      <c r="K32" s="14">
        <v>1021</v>
      </c>
      <c r="L32" s="14">
        <v>2</v>
      </c>
      <c r="M32" s="14" t="s">
        <v>213</v>
      </c>
      <c r="N32" s="14" t="s">
        <v>214</v>
      </c>
      <c r="O32" s="18"/>
      <c r="P32" s="8">
        <v>70</v>
      </c>
      <c r="Q32" s="22">
        <v>200</v>
      </c>
      <c r="R32" s="8">
        <v>375</v>
      </c>
      <c r="S32" s="8"/>
      <c r="T32" s="8">
        <v>0</v>
      </c>
      <c r="U32" s="8">
        <v>2</v>
      </c>
      <c r="V32" s="8" t="s">
        <v>118</v>
      </c>
      <c r="W32" s="13">
        <v>6</v>
      </c>
      <c r="X32" s="8">
        <v>1002</v>
      </c>
      <c r="Y32" s="22" t="s">
        <v>215</v>
      </c>
      <c r="Z32" s="8" t="s">
        <v>216</v>
      </c>
      <c r="AA32" s="8" t="s">
        <v>217</v>
      </c>
      <c r="AB32" s="8" t="s">
        <v>218</v>
      </c>
      <c r="AC32" s="8" t="s">
        <v>103</v>
      </c>
      <c r="AD32" s="8" t="s">
        <v>85</v>
      </c>
      <c r="AE32" s="8" t="s">
        <v>219</v>
      </c>
      <c r="AF32" s="8" t="s">
        <v>87</v>
      </c>
      <c r="AG32" s="8" t="s">
        <v>88</v>
      </c>
      <c r="AH32" s="8" t="s">
        <v>125</v>
      </c>
      <c r="AI32" s="8">
        <v>0</v>
      </c>
      <c r="AJ32" s="8">
        <v>0</v>
      </c>
      <c r="AK32" s="8">
        <v>0.5</v>
      </c>
    </row>
    <row r="33" spans="2:37" s="1" customFormat="1" ht="16.5" x14ac:dyDescent="0.2">
      <c r="B33" s="7">
        <v>2023</v>
      </c>
      <c r="C33" s="8" t="s">
        <v>220</v>
      </c>
      <c r="D33" s="9">
        <v>1</v>
      </c>
      <c r="E33" s="13">
        <v>0</v>
      </c>
      <c r="F33" s="13">
        <v>0.4</v>
      </c>
      <c r="G33" s="9">
        <v>20</v>
      </c>
      <c r="H33" s="14">
        <v>14950</v>
      </c>
      <c r="I33" s="14">
        <v>957</v>
      </c>
      <c r="J33" s="14">
        <v>13455</v>
      </c>
      <c r="K33" s="14">
        <v>861</v>
      </c>
      <c r="L33" s="14">
        <v>2</v>
      </c>
      <c r="M33" s="14" t="s">
        <v>221</v>
      </c>
      <c r="N33" s="14" t="s">
        <v>222</v>
      </c>
      <c r="O33" s="18"/>
      <c r="P33" s="8">
        <v>85</v>
      </c>
      <c r="Q33" s="22">
        <v>600</v>
      </c>
      <c r="R33" s="8">
        <v>600</v>
      </c>
      <c r="S33" s="8"/>
      <c r="T33" s="8">
        <v>1</v>
      </c>
      <c r="U33" s="8">
        <v>2</v>
      </c>
      <c r="V33" s="8" t="s">
        <v>118</v>
      </c>
      <c r="W33" s="13">
        <v>6</v>
      </c>
      <c r="X33" s="8">
        <v>1002</v>
      </c>
      <c r="Y33" s="22" t="s">
        <v>223</v>
      </c>
      <c r="Z33" s="8" t="s">
        <v>224</v>
      </c>
      <c r="AA33" s="8" t="s">
        <v>225</v>
      </c>
      <c r="AB33" s="8" t="s">
        <v>226</v>
      </c>
      <c r="AC33" s="8" t="s">
        <v>103</v>
      </c>
      <c r="AD33" s="8" t="s">
        <v>85</v>
      </c>
      <c r="AE33" s="8" t="s">
        <v>87</v>
      </c>
      <c r="AF33" s="8" t="s">
        <v>87</v>
      </c>
      <c r="AG33" s="8" t="s">
        <v>88</v>
      </c>
      <c r="AH33" s="8" t="s">
        <v>125</v>
      </c>
      <c r="AI33" s="8">
        <v>0</v>
      </c>
      <c r="AJ33" s="8">
        <v>0</v>
      </c>
      <c r="AK33" s="8">
        <v>0.5</v>
      </c>
    </row>
    <row r="34" spans="2:37" s="1" customFormat="1" ht="16.5" x14ac:dyDescent="0.2">
      <c r="B34" s="7">
        <v>2024</v>
      </c>
      <c r="C34" s="8" t="s">
        <v>227</v>
      </c>
      <c r="D34" s="9">
        <v>1</v>
      </c>
      <c r="E34" s="13">
        <v>0</v>
      </c>
      <c r="F34" s="13">
        <v>0.4</v>
      </c>
      <c r="G34" s="9">
        <v>20</v>
      </c>
      <c r="H34" s="14">
        <v>27508</v>
      </c>
      <c r="I34" s="14">
        <v>527</v>
      </c>
      <c r="J34" s="14">
        <v>24757</v>
      </c>
      <c r="K34" s="14">
        <v>474</v>
      </c>
      <c r="L34" s="14">
        <v>2</v>
      </c>
      <c r="M34" s="14" t="s">
        <v>228</v>
      </c>
      <c r="N34" s="14" t="s">
        <v>229</v>
      </c>
      <c r="O34" s="18"/>
      <c r="P34" s="8">
        <v>75</v>
      </c>
      <c r="Q34" s="22">
        <v>600</v>
      </c>
      <c r="R34" s="8">
        <v>600</v>
      </c>
      <c r="S34" s="8"/>
      <c r="T34" s="8">
        <v>1</v>
      </c>
      <c r="U34" s="8">
        <v>2</v>
      </c>
      <c r="V34" s="8" t="s">
        <v>118</v>
      </c>
      <c r="W34" s="13">
        <v>6</v>
      </c>
      <c r="X34" s="8">
        <v>1002</v>
      </c>
      <c r="Y34" s="22" t="s">
        <v>230</v>
      </c>
      <c r="Z34" s="8" t="s">
        <v>231</v>
      </c>
      <c r="AA34" s="8" t="s">
        <v>232</v>
      </c>
      <c r="AB34" s="8" t="s">
        <v>233</v>
      </c>
      <c r="AC34" s="8" t="s">
        <v>103</v>
      </c>
      <c r="AD34" s="8" t="s">
        <v>85</v>
      </c>
      <c r="AE34" s="8" t="s">
        <v>211</v>
      </c>
      <c r="AF34" s="8" t="s">
        <v>87</v>
      </c>
      <c r="AG34" s="8" t="s">
        <v>88</v>
      </c>
      <c r="AH34" s="8" t="s">
        <v>125</v>
      </c>
      <c r="AI34" s="8">
        <v>0</v>
      </c>
      <c r="AJ34" s="8">
        <v>0</v>
      </c>
      <c r="AK34" s="8">
        <v>0.5</v>
      </c>
    </row>
    <row r="35" spans="2:37" s="1" customFormat="1" ht="16.5" x14ac:dyDescent="0.2">
      <c r="B35" s="7">
        <v>2025</v>
      </c>
      <c r="C35" s="8" t="s">
        <v>234</v>
      </c>
      <c r="D35" s="9">
        <v>1</v>
      </c>
      <c r="E35" s="13">
        <v>0</v>
      </c>
      <c r="F35" s="13">
        <v>0.4</v>
      </c>
      <c r="G35" s="9">
        <v>30</v>
      </c>
      <c r="H35" s="14">
        <v>53200</v>
      </c>
      <c r="I35" s="14">
        <v>1484</v>
      </c>
      <c r="J35" s="14">
        <v>47880</v>
      </c>
      <c r="K35" s="14">
        <v>1336</v>
      </c>
      <c r="L35" s="14">
        <v>2</v>
      </c>
      <c r="M35" s="14" t="s">
        <v>235</v>
      </c>
      <c r="N35" s="14" t="s">
        <v>236</v>
      </c>
      <c r="O35" s="18"/>
      <c r="P35" s="8">
        <v>70</v>
      </c>
      <c r="Q35" s="22">
        <v>130</v>
      </c>
      <c r="R35" s="8">
        <v>375</v>
      </c>
      <c r="S35" s="8"/>
      <c r="T35" s="8">
        <v>0</v>
      </c>
      <c r="U35" s="8">
        <v>2</v>
      </c>
      <c r="V35" s="8" t="s">
        <v>118</v>
      </c>
      <c r="W35" s="13">
        <v>6</v>
      </c>
      <c r="X35" s="8">
        <v>1002</v>
      </c>
      <c r="Y35" s="22" t="s">
        <v>237</v>
      </c>
      <c r="Z35" s="8" t="s">
        <v>238</v>
      </c>
      <c r="AA35" s="8" t="s">
        <v>239</v>
      </c>
      <c r="AB35" s="8" t="s">
        <v>240</v>
      </c>
      <c r="AC35" s="8" t="s">
        <v>103</v>
      </c>
      <c r="AD35" s="8" t="s">
        <v>85</v>
      </c>
      <c r="AE35" s="8" t="s">
        <v>133</v>
      </c>
      <c r="AF35" s="8" t="s">
        <v>87</v>
      </c>
      <c r="AG35" s="8" t="s">
        <v>88</v>
      </c>
      <c r="AH35" s="8" t="s">
        <v>125</v>
      </c>
      <c r="AI35" s="8">
        <v>0</v>
      </c>
      <c r="AJ35" s="8">
        <v>0</v>
      </c>
      <c r="AK35" s="8">
        <v>0.5</v>
      </c>
    </row>
    <row r="36" spans="2:37" s="1" customFormat="1" ht="16.5" x14ac:dyDescent="0.2">
      <c r="B36" s="7">
        <v>2026</v>
      </c>
      <c r="C36" s="8" t="s">
        <v>241</v>
      </c>
      <c r="D36" s="9">
        <v>1</v>
      </c>
      <c r="E36" s="13">
        <v>0</v>
      </c>
      <c r="F36" s="13">
        <v>0.4</v>
      </c>
      <c r="G36" s="9">
        <v>30</v>
      </c>
      <c r="H36" s="14">
        <v>67200</v>
      </c>
      <c r="I36" s="14">
        <v>1176</v>
      </c>
      <c r="J36" s="14">
        <v>60480</v>
      </c>
      <c r="K36" s="14">
        <v>1058</v>
      </c>
      <c r="L36" s="14">
        <v>2</v>
      </c>
      <c r="M36" s="14" t="s">
        <v>242</v>
      </c>
      <c r="N36" s="14" t="s">
        <v>243</v>
      </c>
      <c r="O36" s="18"/>
      <c r="P36" s="8">
        <v>70</v>
      </c>
      <c r="Q36" s="22">
        <v>550</v>
      </c>
      <c r="R36" s="8">
        <v>375</v>
      </c>
      <c r="S36" s="8"/>
      <c r="T36" s="8">
        <v>1</v>
      </c>
      <c r="U36" s="8">
        <v>2</v>
      </c>
      <c r="V36" s="8" t="s">
        <v>118</v>
      </c>
      <c r="W36" s="13">
        <v>6</v>
      </c>
      <c r="X36" s="8">
        <v>1002</v>
      </c>
      <c r="Y36" s="22" t="s">
        <v>237</v>
      </c>
      <c r="Z36" s="8" t="s">
        <v>244</v>
      </c>
      <c r="AA36" s="8" t="s">
        <v>245</v>
      </c>
      <c r="AB36" s="8" t="s">
        <v>246</v>
      </c>
      <c r="AC36" s="8" t="s">
        <v>103</v>
      </c>
      <c r="AD36" s="8" t="s">
        <v>85</v>
      </c>
      <c r="AE36" s="8" t="s">
        <v>133</v>
      </c>
      <c r="AF36" s="8" t="s">
        <v>87</v>
      </c>
      <c r="AG36" s="8" t="s">
        <v>88</v>
      </c>
      <c r="AH36" s="8" t="s">
        <v>125</v>
      </c>
      <c r="AI36" s="8">
        <v>0</v>
      </c>
      <c r="AJ36" s="8">
        <v>0</v>
      </c>
      <c r="AK36" s="8">
        <v>0.5</v>
      </c>
    </row>
    <row r="37" spans="2:37" s="1" customFormat="1" ht="16.5" x14ac:dyDescent="0.2">
      <c r="B37" s="7">
        <v>3001</v>
      </c>
      <c r="C37" s="8" t="s">
        <v>247</v>
      </c>
      <c r="D37" s="9">
        <v>0</v>
      </c>
      <c r="E37" s="13">
        <v>0</v>
      </c>
      <c r="F37" s="13">
        <v>0.4</v>
      </c>
      <c r="G37" s="9">
        <v>1</v>
      </c>
      <c r="H37" s="14">
        <v>368</v>
      </c>
      <c r="I37" s="14">
        <v>138</v>
      </c>
      <c r="J37" s="14">
        <v>331</v>
      </c>
      <c r="K37" s="14">
        <v>124</v>
      </c>
      <c r="L37" s="14">
        <v>1.2</v>
      </c>
      <c r="M37" s="14" t="s">
        <v>248</v>
      </c>
      <c r="N37" s="14" t="s">
        <v>249</v>
      </c>
      <c r="O37" s="18"/>
      <c r="P37" s="8">
        <v>65</v>
      </c>
      <c r="Q37" s="22">
        <v>420</v>
      </c>
      <c r="R37" s="8">
        <v>450</v>
      </c>
      <c r="S37" s="8"/>
      <c r="T37" s="8">
        <v>1</v>
      </c>
      <c r="U37" s="8">
        <v>3</v>
      </c>
      <c r="V37" s="8" t="s">
        <v>118</v>
      </c>
      <c r="W37" s="13">
        <v>12</v>
      </c>
      <c r="X37" s="8">
        <v>1001</v>
      </c>
      <c r="Y37" s="22" t="s">
        <v>250</v>
      </c>
      <c r="Z37" s="8" t="s">
        <v>251</v>
      </c>
      <c r="AA37" s="8" t="s">
        <v>252</v>
      </c>
      <c r="AB37" s="8" t="s">
        <v>253</v>
      </c>
      <c r="AC37" s="8" t="s">
        <v>187</v>
      </c>
      <c r="AD37" s="8" t="s">
        <v>85</v>
      </c>
      <c r="AE37" s="8" t="s">
        <v>254</v>
      </c>
      <c r="AF37" s="8" t="s">
        <v>87</v>
      </c>
      <c r="AG37" s="8" t="s">
        <v>88</v>
      </c>
      <c r="AH37" s="8" t="s">
        <v>89</v>
      </c>
      <c r="AI37" s="8">
        <v>0</v>
      </c>
      <c r="AJ37" s="8">
        <v>0</v>
      </c>
      <c r="AK37" s="8">
        <v>1</v>
      </c>
    </row>
    <row r="38" spans="2:37" s="1" customFormat="1" ht="16.5" x14ac:dyDescent="0.2">
      <c r="B38" s="7">
        <v>3002</v>
      </c>
      <c r="C38" s="8" t="s">
        <v>255</v>
      </c>
      <c r="D38" s="9">
        <v>0</v>
      </c>
      <c r="E38" s="13">
        <v>0</v>
      </c>
      <c r="F38" s="13">
        <v>0.4</v>
      </c>
      <c r="G38" s="9">
        <v>1</v>
      </c>
      <c r="H38" s="14">
        <v>368</v>
      </c>
      <c r="I38" s="14">
        <v>138</v>
      </c>
      <c r="J38" s="14">
        <v>331</v>
      </c>
      <c r="K38" s="14">
        <v>124</v>
      </c>
      <c r="L38" s="14">
        <v>1.2</v>
      </c>
      <c r="M38" s="14" t="s">
        <v>248</v>
      </c>
      <c r="N38" s="14" t="s">
        <v>249</v>
      </c>
      <c r="O38" s="18"/>
      <c r="P38" s="8">
        <v>65</v>
      </c>
      <c r="Q38" s="22">
        <v>420</v>
      </c>
      <c r="R38" s="8">
        <v>450</v>
      </c>
      <c r="S38" s="8"/>
      <c r="T38" s="8">
        <v>1</v>
      </c>
      <c r="U38" s="8">
        <v>3</v>
      </c>
      <c r="V38" s="8" t="s">
        <v>118</v>
      </c>
      <c r="W38" s="13">
        <v>12</v>
      </c>
      <c r="X38" s="8">
        <v>1001</v>
      </c>
      <c r="Y38" s="22" t="s">
        <v>250</v>
      </c>
      <c r="Z38" s="8" t="s">
        <v>251</v>
      </c>
      <c r="AA38" s="8" t="s">
        <v>252</v>
      </c>
      <c r="AB38" s="8" t="s">
        <v>253</v>
      </c>
      <c r="AC38" s="8" t="s">
        <v>187</v>
      </c>
      <c r="AD38" s="8" t="s">
        <v>85</v>
      </c>
      <c r="AE38" s="8" t="s">
        <v>254</v>
      </c>
      <c r="AF38" s="8" t="s">
        <v>87</v>
      </c>
      <c r="AG38" s="8" t="s">
        <v>88</v>
      </c>
      <c r="AH38" s="8" t="s">
        <v>89</v>
      </c>
      <c r="AI38" s="8">
        <v>0</v>
      </c>
      <c r="AJ38" s="8">
        <v>0</v>
      </c>
      <c r="AK38" s="8">
        <v>1</v>
      </c>
    </row>
    <row r="39" spans="2:37" s="1" customFormat="1" ht="16.5" x14ac:dyDescent="0.2">
      <c r="B39" s="7">
        <v>3003</v>
      </c>
      <c r="C39" s="8" t="s">
        <v>256</v>
      </c>
      <c r="D39" s="9">
        <v>0</v>
      </c>
      <c r="E39" s="13">
        <v>0</v>
      </c>
      <c r="F39" s="13">
        <v>0.4</v>
      </c>
      <c r="G39" s="9">
        <v>1</v>
      </c>
      <c r="H39" s="14">
        <v>368</v>
      </c>
      <c r="I39" s="14">
        <v>138</v>
      </c>
      <c r="J39" s="14">
        <v>331</v>
      </c>
      <c r="K39" s="14">
        <v>124</v>
      </c>
      <c r="L39" s="14">
        <v>1.2</v>
      </c>
      <c r="M39" s="14" t="s">
        <v>248</v>
      </c>
      <c r="N39" s="14" t="s">
        <v>249</v>
      </c>
      <c r="O39" s="18"/>
      <c r="P39" s="8">
        <v>65</v>
      </c>
      <c r="Q39" s="22">
        <v>420</v>
      </c>
      <c r="R39" s="8">
        <v>450</v>
      </c>
      <c r="S39" s="8"/>
      <c r="T39" s="8">
        <v>1</v>
      </c>
      <c r="U39" s="8">
        <v>3</v>
      </c>
      <c r="V39" s="8" t="s">
        <v>118</v>
      </c>
      <c r="W39" s="13">
        <v>12</v>
      </c>
      <c r="X39" s="8">
        <v>1001</v>
      </c>
      <c r="Y39" s="22" t="s">
        <v>250</v>
      </c>
      <c r="Z39" s="8" t="s">
        <v>251</v>
      </c>
      <c r="AA39" s="8" t="s">
        <v>252</v>
      </c>
      <c r="AB39" s="8" t="s">
        <v>253</v>
      </c>
      <c r="AC39" s="8" t="s">
        <v>187</v>
      </c>
      <c r="AD39" s="8" t="s">
        <v>85</v>
      </c>
      <c r="AE39" s="8" t="s">
        <v>254</v>
      </c>
      <c r="AF39" s="8" t="s">
        <v>87</v>
      </c>
      <c r="AG39" s="8" t="s">
        <v>88</v>
      </c>
      <c r="AH39" s="8" t="s">
        <v>89</v>
      </c>
      <c r="AI39" s="8">
        <v>0</v>
      </c>
      <c r="AJ39" s="8">
        <v>0</v>
      </c>
      <c r="AK39" s="8">
        <v>1</v>
      </c>
    </row>
    <row r="40" spans="2:37" s="1" customFormat="1" ht="16.5" x14ac:dyDescent="0.2">
      <c r="B40" s="7">
        <v>3004</v>
      </c>
      <c r="C40" s="8" t="s">
        <v>257</v>
      </c>
      <c r="D40" s="9">
        <v>0</v>
      </c>
      <c r="E40" s="13">
        <v>0</v>
      </c>
      <c r="F40" s="13">
        <v>0.4</v>
      </c>
      <c r="G40" s="9">
        <v>1</v>
      </c>
      <c r="H40" s="14">
        <v>368</v>
      </c>
      <c r="I40" s="14">
        <v>138</v>
      </c>
      <c r="J40" s="14">
        <v>331</v>
      </c>
      <c r="K40" s="14">
        <v>124</v>
      </c>
      <c r="L40" s="14">
        <v>1.2</v>
      </c>
      <c r="M40" s="14" t="s">
        <v>248</v>
      </c>
      <c r="N40" s="14" t="s">
        <v>249</v>
      </c>
      <c r="O40" s="18"/>
      <c r="P40" s="8">
        <v>65</v>
      </c>
      <c r="Q40" s="22">
        <v>420</v>
      </c>
      <c r="R40" s="8">
        <v>450</v>
      </c>
      <c r="S40" s="8"/>
      <c r="T40" s="8">
        <v>1</v>
      </c>
      <c r="U40" s="8">
        <v>3</v>
      </c>
      <c r="V40" s="8" t="s">
        <v>118</v>
      </c>
      <c r="W40" s="13">
        <v>12</v>
      </c>
      <c r="X40" s="8">
        <v>1001</v>
      </c>
      <c r="Y40" s="22" t="s">
        <v>250</v>
      </c>
      <c r="Z40" s="8" t="s">
        <v>251</v>
      </c>
      <c r="AA40" s="8" t="s">
        <v>252</v>
      </c>
      <c r="AB40" s="8" t="s">
        <v>253</v>
      </c>
      <c r="AC40" s="8" t="s">
        <v>187</v>
      </c>
      <c r="AD40" s="8" t="s">
        <v>85</v>
      </c>
      <c r="AE40" s="8" t="s">
        <v>254</v>
      </c>
      <c r="AF40" s="8" t="s">
        <v>87</v>
      </c>
      <c r="AG40" s="8" t="s">
        <v>88</v>
      </c>
      <c r="AH40" s="8" t="s">
        <v>89</v>
      </c>
      <c r="AI40" s="8">
        <v>0</v>
      </c>
      <c r="AJ40" s="8">
        <v>0</v>
      </c>
      <c r="AK40" s="8">
        <v>1</v>
      </c>
    </row>
    <row r="41" spans="2:37" s="1" customFormat="1" ht="16.5" x14ac:dyDescent="0.2">
      <c r="B41" s="7">
        <v>3005</v>
      </c>
      <c r="C41" s="8" t="s">
        <v>258</v>
      </c>
      <c r="D41" s="9">
        <v>0</v>
      </c>
      <c r="E41" s="13">
        <v>0</v>
      </c>
      <c r="F41" s="13">
        <v>0.4</v>
      </c>
      <c r="G41" s="9">
        <v>1</v>
      </c>
      <c r="H41" s="14">
        <v>368</v>
      </c>
      <c r="I41" s="14">
        <v>138</v>
      </c>
      <c r="J41" s="14">
        <v>331</v>
      </c>
      <c r="K41" s="14">
        <v>124</v>
      </c>
      <c r="L41" s="14">
        <v>1.2</v>
      </c>
      <c r="M41" s="14" t="s">
        <v>248</v>
      </c>
      <c r="N41" s="14" t="s">
        <v>249</v>
      </c>
      <c r="O41" s="18"/>
      <c r="P41" s="8">
        <v>65</v>
      </c>
      <c r="Q41" s="22">
        <v>420</v>
      </c>
      <c r="R41" s="8">
        <v>450</v>
      </c>
      <c r="S41" s="8"/>
      <c r="T41" s="8">
        <v>1</v>
      </c>
      <c r="U41" s="8">
        <v>3</v>
      </c>
      <c r="V41" s="8" t="s">
        <v>118</v>
      </c>
      <c r="W41" s="13">
        <v>12</v>
      </c>
      <c r="X41" s="8">
        <v>1001</v>
      </c>
      <c r="Y41" s="22" t="s">
        <v>250</v>
      </c>
      <c r="Z41" s="8" t="s">
        <v>251</v>
      </c>
      <c r="AA41" s="8" t="s">
        <v>252</v>
      </c>
      <c r="AB41" s="8" t="s">
        <v>253</v>
      </c>
      <c r="AC41" s="8" t="s">
        <v>187</v>
      </c>
      <c r="AD41" s="8" t="s">
        <v>85</v>
      </c>
      <c r="AE41" s="8" t="s">
        <v>254</v>
      </c>
      <c r="AF41" s="8" t="s">
        <v>87</v>
      </c>
      <c r="AG41" s="8" t="s">
        <v>88</v>
      </c>
      <c r="AH41" s="8" t="s">
        <v>89</v>
      </c>
      <c r="AI41" s="8">
        <v>0</v>
      </c>
      <c r="AJ41" s="8">
        <v>0</v>
      </c>
      <c r="AK41" s="8">
        <v>1</v>
      </c>
    </row>
    <row r="42" spans="2:37" s="1" customFormat="1" ht="16.5" x14ac:dyDescent="0.2">
      <c r="B42" s="7">
        <v>3021</v>
      </c>
      <c r="C42" s="8" t="s">
        <v>259</v>
      </c>
      <c r="D42" s="9">
        <v>0</v>
      </c>
      <c r="E42" s="13">
        <v>0</v>
      </c>
      <c r="F42" s="13">
        <v>0.4</v>
      </c>
      <c r="G42" s="9">
        <v>3</v>
      </c>
      <c r="H42" s="14">
        <v>14000</v>
      </c>
      <c r="I42" s="14">
        <v>336</v>
      </c>
      <c r="J42" s="14">
        <v>12600</v>
      </c>
      <c r="K42" s="14">
        <v>302</v>
      </c>
      <c r="L42" s="14">
        <v>3</v>
      </c>
      <c r="M42" s="14" t="s">
        <v>260</v>
      </c>
      <c r="N42" s="14" t="s">
        <v>261</v>
      </c>
      <c r="O42" s="18" t="s">
        <v>262</v>
      </c>
      <c r="P42" s="8">
        <v>56</v>
      </c>
      <c r="Q42" s="22">
        <v>100</v>
      </c>
      <c r="R42" s="8">
        <v>300</v>
      </c>
      <c r="S42" s="8"/>
      <c r="T42" s="8">
        <v>0</v>
      </c>
      <c r="U42" s="8">
        <v>3</v>
      </c>
      <c r="V42" s="8" t="s">
        <v>263</v>
      </c>
      <c r="W42" s="13">
        <v>5</v>
      </c>
      <c r="X42" s="8">
        <v>0</v>
      </c>
      <c r="Y42" s="22" t="s">
        <v>264</v>
      </c>
      <c r="Z42" s="8" t="s">
        <v>265</v>
      </c>
      <c r="AA42" s="8" t="s">
        <v>266</v>
      </c>
      <c r="AB42" s="8" t="s">
        <v>267</v>
      </c>
      <c r="AC42" s="8" t="s">
        <v>103</v>
      </c>
      <c r="AD42" s="8" t="s">
        <v>85</v>
      </c>
      <c r="AE42" s="8" t="s">
        <v>268</v>
      </c>
      <c r="AF42" s="8" t="s">
        <v>87</v>
      </c>
      <c r="AG42" s="8" t="s">
        <v>88</v>
      </c>
      <c r="AH42" s="8" t="s">
        <v>114</v>
      </c>
      <c r="AI42" s="8">
        <v>0</v>
      </c>
      <c r="AJ42" s="8">
        <v>0</v>
      </c>
      <c r="AK42" s="8">
        <v>0.3</v>
      </c>
    </row>
    <row r="43" spans="2:37" s="1" customFormat="1" ht="16.5" x14ac:dyDescent="0.2">
      <c r="B43" s="7">
        <v>3022</v>
      </c>
      <c r="C43" s="8" t="s">
        <v>259</v>
      </c>
      <c r="D43" s="9">
        <v>0</v>
      </c>
      <c r="E43" s="13">
        <v>0</v>
      </c>
      <c r="F43" s="13">
        <v>0.4</v>
      </c>
      <c r="G43" s="9">
        <v>3</v>
      </c>
      <c r="H43" s="14">
        <v>14000</v>
      </c>
      <c r="I43" s="14">
        <v>336</v>
      </c>
      <c r="J43" s="14">
        <v>12600</v>
      </c>
      <c r="K43" s="14">
        <v>302</v>
      </c>
      <c r="L43" s="14">
        <v>3</v>
      </c>
      <c r="M43" s="14" t="s">
        <v>260</v>
      </c>
      <c r="N43" s="14" t="s">
        <v>261</v>
      </c>
      <c r="O43" s="18" t="s">
        <v>262</v>
      </c>
      <c r="P43" s="8">
        <v>56</v>
      </c>
      <c r="Q43" s="22">
        <v>100</v>
      </c>
      <c r="R43" s="8">
        <v>300</v>
      </c>
      <c r="S43" s="8"/>
      <c r="T43" s="8">
        <v>0</v>
      </c>
      <c r="U43" s="8">
        <v>3</v>
      </c>
      <c r="V43" s="8" t="s">
        <v>263</v>
      </c>
      <c r="W43" s="13">
        <v>5</v>
      </c>
      <c r="X43" s="8">
        <v>0</v>
      </c>
      <c r="Y43" s="22" t="s">
        <v>264</v>
      </c>
      <c r="Z43" s="8" t="s">
        <v>265</v>
      </c>
      <c r="AA43" s="8" t="s">
        <v>266</v>
      </c>
      <c r="AB43" s="8" t="s">
        <v>267</v>
      </c>
      <c r="AC43" s="8" t="s">
        <v>103</v>
      </c>
      <c r="AD43" s="8" t="s">
        <v>85</v>
      </c>
      <c r="AE43" s="8" t="s">
        <v>268</v>
      </c>
      <c r="AF43" s="8" t="s">
        <v>87</v>
      </c>
      <c r="AG43" s="8" t="s">
        <v>88</v>
      </c>
      <c r="AH43" s="8" t="s">
        <v>114</v>
      </c>
      <c r="AI43" s="8">
        <v>0</v>
      </c>
      <c r="AJ43" s="8">
        <v>0</v>
      </c>
      <c r="AK43" s="8">
        <v>0.3</v>
      </c>
    </row>
    <row r="44" spans="2:37" s="1" customFormat="1" ht="16.5" x14ac:dyDescent="0.2">
      <c r="B44" s="7">
        <v>3023</v>
      </c>
      <c r="C44" s="8" t="s">
        <v>259</v>
      </c>
      <c r="D44" s="9">
        <v>0</v>
      </c>
      <c r="E44" s="13">
        <v>0</v>
      </c>
      <c r="F44" s="13">
        <v>0.4</v>
      </c>
      <c r="G44" s="9">
        <v>3</v>
      </c>
      <c r="H44" s="14">
        <v>14000</v>
      </c>
      <c r="I44" s="14">
        <v>336</v>
      </c>
      <c r="J44" s="14">
        <v>12600</v>
      </c>
      <c r="K44" s="14">
        <v>302</v>
      </c>
      <c r="L44" s="14">
        <v>3</v>
      </c>
      <c r="M44" s="14" t="s">
        <v>260</v>
      </c>
      <c r="N44" s="14" t="s">
        <v>261</v>
      </c>
      <c r="O44" s="18" t="s">
        <v>262</v>
      </c>
      <c r="P44" s="8">
        <v>56</v>
      </c>
      <c r="Q44" s="22">
        <v>100</v>
      </c>
      <c r="R44" s="8">
        <v>300</v>
      </c>
      <c r="S44" s="8"/>
      <c r="T44" s="8">
        <v>0</v>
      </c>
      <c r="U44" s="8">
        <v>3</v>
      </c>
      <c r="V44" s="8" t="s">
        <v>263</v>
      </c>
      <c r="W44" s="13">
        <v>5</v>
      </c>
      <c r="X44" s="8">
        <v>0</v>
      </c>
      <c r="Y44" s="22" t="s">
        <v>264</v>
      </c>
      <c r="Z44" s="8" t="s">
        <v>265</v>
      </c>
      <c r="AA44" s="8" t="s">
        <v>266</v>
      </c>
      <c r="AB44" s="8" t="s">
        <v>267</v>
      </c>
      <c r="AC44" s="8" t="s">
        <v>103</v>
      </c>
      <c r="AD44" s="8" t="s">
        <v>85</v>
      </c>
      <c r="AE44" s="8" t="s">
        <v>268</v>
      </c>
      <c r="AF44" s="8" t="s">
        <v>87</v>
      </c>
      <c r="AG44" s="8" t="s">
        <v>88</v>
      </c>
      <c r="AH44" s="8" t="s">
        <v>114</v>
      </c>
      <c r="AI44" s="8">
        <v>0</v>
      </c>
      <c r="AJ44" s="8">
        <v>0</v>
      </c>
      <c r="AK44" s="8">
        <v>0.3</v>
      </c>
    </row>
    <row r="45" spans="2:37" s="1" customFormat="1" ht="16.5" x14ac:dyDescent="0.2">
      <c r="B45" s="7">
        <v>3024</v>
      </c>
      <c r="C45" s="8" t="s">
        <v>259</v>
      </c>
      <c r="D45" s="9">
        <v>0</v>
      </c>
      <c r="E45" s="13">
        <v>0</v>
      </c>
      <c r="F45" s="13">
        <v>0.4</v>
      </c>
      <c r="G45" s="9">
        <v>3</v>
      </c>
      <c r="H45" s="14">
        <v>14000</v>
      </c>
      <c r="I45" s="14">
        <v>336</v>
      </c>
      <c r="J45" s="14">
        <v>12600</v>
      </c>
      <c r="K45" s="14">
        <v>302</v>
      </c>
      <c r="L45" s="14">
        <v>3</v>
      </c>
      <c r="M45" s="14" t="s">
        <v>260</v>
      </c>
      <c r="N45" s="14" t="s">
        <v>261</v>
      </c>
      <c r="O45" s="18" t="s">
        <v>262</v>
      </c>
      <c r="P45" s="8">
        <v>56</v>
      </c>
      <c r="Q45" s="22">
        <v>100</v>
      </c>
      <c r="R45" s="8">
        <v>300</v>
      </c>
      <c r="S45" s="8"/>
      <c r="T45" s="8">
        <v>0</v>
      </c>
      <c r="U45" s="8">
        <v>3</v>
      </c>
      <c r="V45" s="8" t="s">
        <v>263</v>
      </c>
      <c r="W45" s="13">
        <v>5</v>
      </c>
      <c r="X45" s="8">
        <v>0</v>
      </c>
      <c r="Y45" s="22" t="s">
        <v>264</v>
      </c>
      <c r="Z45" s="8" t="s">
        <v>265</v>
      </c>
      <c r="AA45" s="8" t="s">
        <v>266</v>
      </c>
      <c r="AB45" s="8" t="s">
        <v>267</v>
      </c>
      <c r="AC45" s="8" t="s">
        <v>103</v>
      </c>
      <c r="AD45" s="8" t="s">
        <v>85</v>
      </c>
      <c r="AE45" s="8" t="s">
        <v>268</v>
      </c>
      <c r="AF45" s="8" t="s">
        <v>87</v>
      </c>
      <c r="AG45" s="8" t="s">
        <v>88</v>
      </c>
      <c r="AH45" s="8" t="s">
        <v>114</v>
      </c>
      <c r="AI45" s="8">
        <v>0</v>
      </c>
      <c r="AJ45" s="8">
        <v>0</v>
      </c>
      <c r="AK45" s="8">
        <v>0.3</v>
      </c>
    </row>
    <row r="46" spans="2:37" s="1" customFormat="1" ht="16.5" x14ac:dyDescent="0.2">
      <c r="B46" s="7">
        <v>3025</v>
      </c>
      <c r="C46" s="8" t="s">
        <v>259</v>
      </c>
      <c r="D46" s="9">
        <v>0</v>
      </c>
      <c r="E46" s="13">
        <v>0</v>
      </c>
      <c r="F46" s="13">
        <v>0.4</v>
      </c>
      <c r="G46" s="9">
        <v>3</v>
      </c>
      <c r="H46" s="14">
        <v>14000</v>
      </c>
      <c r="I46" s="14">
        <v>336</v>
      </c>
      <c r="J46" s="14">
        <v>12600</v>
      </c>
      <c r="K46" s="14">
        <v>302</v>
      </c>
      <c r="L46" s="14">
        <v>3</v>
      </c>
      <c r="M46" s="14" t="s">
        <v>260</v>
      </c>
      <c r="N46" s="14" t="s">
        <v>261</v>
      </c>
      <c r="O46" s="18" t="s">
        <v>262</v>
      </c>
      <c r="P46" s="8">
        <v>56</v>
      </c>
      <c r="Q46" s="22">
        <v>100</v>
      </c>
      <c r="R46" s="8">
        <v>300</v>
      </c>
      <c r="S46" s="8"/>
      <c r="T46" s="8">
        <v>0</v>
      </c>
      <c r="U46" s="8">
        <v>3</v>
      </c>
      <c r="V46" s="8" t="s">
        <v>263</v>
      </c>
      <c r="W46" s="13">
        <v>5</v>
      </c>
      <c r="X46" s="8">
        <v>0</v>
      </c>
      <c r="Y46" s="22" t="s">
        <v>264</v>
      </c>
      <c r="Z46" s="8" t="s">
        <v>265</v>
      </c>
      <c r="AA46" s="8" t="s">
        <v>266</v>
      </c>
      <c r="AB46" s="8" t="s">
        <v>267</v>
      </c>
      <c r="AC46" s="8" t="s">
        <v>103</v>
      </c>
      <c r="AD46" s="8" t="s">
        <v>85</v>
      </c>
      <c r="AE46" s="8" t="s">
        <v>268</v>
      </c>
      <c r="AF46" s="8" t="s">
        <v>87</v>
      </c>
      <c r="AG46" s="8" t="s">
        <v>88</v>
      </c>
      <c r="AH46" s="8" t="s">
        <v>114</v>
      </c>
      <c r="AI46" s="8">
        <v>0</v>
      </c>
      <c r="AJ46" s="8">
        <v>0</v>
      </c>
      <c r="AK46" s="8">
        <v>0.3</v>
      </c>
    </row>
    <row r="47" spans="2:37" s="1" customFormat="1" ht="16.5" x14ac:dyDescent="0.2">
      <c r="B47" s="7">
        <v>3026</v>
      </c>
      <c r="C47" s="8" t="s">
        <v>269</v>
      </c>
      <c r="D47" s="9">
        <v>2</v>
      </c>
      <c r="E47" s="13">
        <v>0</v>
      </c>
      <c r="F47" s="13">
        <v>0.4</v>
      </c>
      <c r="G47" s="9">
        <v>0</v>
      </c>
      <c r="H47" s="14">
        <v>3145</v>
      </c>
      <c r="I47" s="14">
        <v>116</v>
      </c>
      <c r="J47" s="14">
        <v>2831</v>
      </c>
      <c r="K47" s="14">
        <v>104</v>
      </c>
      <c r="L47" s="14">
        <v>2.5</v>
      </c>
      <c r="M47" s="14" t="s">
        <v>270</v>
      </c>
      <c r="N47" s="14" t="s">
        <v>271</v>
      </c>
      <c r="O47" s="18" t="s">
        <v>97</v>
      </c>
      <c r="P47" s="8">
        <v>48</v>
      </c>
      <c r="Q47" s="22">
        <v>84</v>
      </c>
      <c r="R47" s="8">
        <v>300</v>
      </c>
      <c r="S47" s="8"/>
      <c r="T47" s="8">
        <v>0</v>
      </c>
      <c r="U47" s="8">
        <v>3</v>
      </c>
      <c r="V47" s="8" t="s">
        <v>79</v>
      </c>
      <c r="W47" s="13">
        <v>12</v>
      </c>
      <c r="X47" s="8">
        <v>0</v>
      </c>
      <c r="Y47" s="22" t="s">
        <v>272</v>
      </c>
      <c r="Z47" s="8" t="s">
        <v>273</v>
      </c>
      <c r="AA47" s="8" t="s">
        <v>274</v>
      </c>
      <c r="AB47" s="8" t="s">
        <v>275</v>
      </c>
      <c r="AC47" s="8" t="s">
        <v>103</v>
      </c>
      <c r="AD47" s="8" t="s">
        <v>85</v>
      </c>
      <c r="AE47" s="8" t="s">
        <v>87</v>
      </c>
      <c r="AF47" s="8" t="s">
        <v>87</v>
      </c>
      <c r="AG47" s="8" t="s">
        <v>88</v>
      </c>
      <c r="AH47" s="8" t="s">
        <v>89</v>
      </c>
      <c r="AI47" s="13">
        <v>0.22</v>
      </c>
      <c r="AJ47" s="13">
        <v>0.35</v>
      </c>
      <c r="AK47" s="8">
        <v>1</v>
      </c>
    </row>
    <row r="48" spans="2:37" s="1" customFormat="1" ht="16.5" x14ac:dyDescent="0.2">
      <c r="B48" s="7">
        <v>3031</v>
      </c>
      <c r="C48" s="8" t="s">
        <v>276</v>
      </c>
      <c r="D48" s="9">
        <v>0</v>
      </c>
      <c r="E48" s="13">
        <v>0</v>
      </c>
      <c r="F48" s="13">
        <v>0.4</v>
      </c>
      <c r="G48" s="9">
        <v>3</v>
      </c>
      <c r="H48" s="14">
        <v>2430</v>
      </c>
      <c r="I48" s="14">
        <v>451</v>
      </c>
      <c r="J48" s="14">
        <v>2187</v>
      </c>
      <c r="K48" s="14">
        <v>406</v>
      </c>
      <c r="L48" s="14">
        <v>3</v>
      </c>
      <c r="M48" s="14" t="s">
        <v>277</v>
      </c>
      <c r="N48" s="14" t="s">
        <v>278</v>
      </c>
      <c r="O48" s="18"/>
      <c r="P48" s="8">
        <v>56</v>
      </c>
      <c r="Q48" s="22">
        <v>560</v>
      </c>
      <c r="R48" s="8">
        <v>600</v>
      </c>
      <c r="S48" s="8"/>
      <c r="T48" s="8">
        <v>1</v>
      </c>
      <c r="U48" s="8">
        <v>3</v>
      </c>
      <c r="V48" s="8" t="s">
        <v>279</v>
      </c>
      <c r="W48" s="13">
        <v>6</v>
      </c>
      <c r="X48" s="8">
        <v>1001</v>
      </c>
      <c r="Y48" s="22" t="s">
        <v>280</v>
      </c>
      <c r="Z48" s="8" t="s">
        <v>281</v>
      </c>
      <c r="AA48" s="8" t="s">
        <v>282</v>
      </c>
      <c r="AB48" s="8" t="s">
        <v>283</v>
      </c>
      <c r="AC48" s="8" t="s">
        <v>187</v>
      </c>
      <c r="AD48" s="8" t="s">
        <v>85</v>
      </c>
      <c r="AE48" s="8" t="s">
        <v>284</v>
      </c>
      <c r="AF48" s="8" t="s">
        <v>87</v>
      </c>
      <c r="AG48" s="8" t="s">
        <v>88</v>
      </c>
      <c r="AH48" s="8" t="s">
        <v>89</v>
      </c>
      <c r="AI48" s="8">
        <v>0</v>
      </c>
      <c r="AJ48" s="8">
        <v>0</v>
      </c>
      <c r="AK48" s="8">
        <v>1</v>
      </c>
    </row>
    <row r="49" spans="2:37" s="1" customFormat="1" ht="16.5" x14ac:dyDescent="0.2">
      <c r="B49" s="7">
        <v>3041</v>
      </c>
      <c r="C49" s="8" t="s">
        <v>285</v>
      </c>
      <c r="D49" s="9">
        <v>1</v>
      </c>
      <c r="E49" s="13">
        <v>0</v>
      </c>
      <c r="F49" s="13">
        <v>0.4</v>
      </c>
      <c r="G49" s="9">
        <v>25</v>
      </c>
      <c r="H49" s="14">
        <v>58500</v>
      </c>
      <c r="I49" s="14">
        <v>846</v>
      </c>
      <c r="J49" s="14">
        <v>52650</v>
      </c>
      <c r="K49" s="14">
        <v>761</v>
      </c>
      <c r="L49" s="14">
        <v>3</v>
      </c>
      <c r="M49" s="14" t="s">
        <v>286</v>
      </c>
      <c r="N49" s="14" t="s">
        <v>287</v>
      </c>
      <c r="O49" s="18"/>
      <c r="P49" s="8">
        <v>75</v>
      </c>
      <c r="Q49" s="22">
        <v>130</v>
      </c>
      <c r="R49" s="8">
        <v>300</v>
      </c>
      <c r="S49" s="8"/>
      <c r="T49" s="8">
        <v>0</v>
      </c>
      <c r="U49" s="8">
        <v>3</v>
      </c>
      <c r="V49" s="8" t="s">
        <v>79</v>
      </c>
      <c r="W49" s="13">
        <v>6</v>
      </c>
      <c r="X49" s="8">
        <v>0</v>
      </c>
      <c r="Y49" s="22" t="s">
        <v>288</v>
      </c>
      <c r="Z49" s="8" t="s">
        <v>289</v>
      </c>
      <c r="AA49" s="8" t="s">
        <v>290</v>
      </c>
      <c r="AB49" s="8" t="s">
        <v>291</v>
      </c>
      <c r="AC49" s="8" t="s">
        <v>103</v>
      </c>
      <c r="AD49" s="8" t="s">
        <v>85</v>
      </c>
      <c r="AE49" s="8" t="s">
        <v>133</v>
      </c>
      <c r="AF49" s="8" t="s">
        <v>87</v>
      </c>
      <c r="AG49" s="8" t="s">
        <v>88</v>
      </c>
      <c r="AH49" s="8" t="s">
        <v>125</v>
      </c>
      <c r="AI49" s="8">
        <v>0</v>
      </c>
      <c r="AJ49" s="8">
        <v>0</v>
      </c>
      <c r="AK49" s="8">
        <v>0.5</v>
      </c>
    </row>
    <row r="50" spans="2:37" s="1" customFormat="1" ht="16.5" x14ac:dyDescent="0.2">
      <c r="B50" s="7">
        <v>3042</v>
      </c>
      <c r="C50" s="8" t="s">
        <v>292</v>
      </c>
      <c r="D50" s="9">
        <v>1</v>
      </c>
      <c r="E50" s="13">
        <v>0</v>
      </c>
      <c r="F50" s="13">
        <v>0.4</v>
      </c>
      <c r="G50" s="9">
        <v>25</v>
      </c>
      <c r="H50" s="14">
        <v>49500</v>
      </c>
      <c r="I50" s="14">
        <v>792</v>
      </c>
      <c r="J50" s="14">
        <v>44550</v>
      </c>
      <c r="K50" s="14">
        <v>713</v>
      </c>
      <c r="L50" s="14">
        <v>2</v>
      </c>
      <c r="M50" s="14" t="s">
        <v>293</v>
      </c>
      <c r="N50" s="14" t="s">
        <v>294</v>
      </c>
      <c r="O50" s="18"/>
      <c r="P50" s="8">
        <v>70</v>
      </c>
      <c r="Q50" s="22">
        <v>750</v>
      </c>
      <c r="R50" s="22">
        <v>750</v>
      </c>
      <c r="S50" s="8"/>
      <c r="T50" s="8">
        <v>1</v>
      </c>
      <c r="U50" s="8">
        <v>3</v>
      </c>
      <c r="V50" s="8" t="s">
        <v>118</v>
      </c>
      <c r="W50" s="13">
        <v>6</v>
      </c>
      <c r="X50" s="8">
        <v>0</v>
      </c>
      <c r="Y50" s="22" t="s">
        <v>295</v>
      </c>
      <c r="Z50" s="8" t="s">
        <v>296</v>
      </c>
      <c r="AA50" s="8" t="s">
        <v>297</v>
      </c>
      <c r="AB50" s="8" t="s">
        <v>298</v>
      </c>
      <c r="AC50" s="8" t="s">
        <v>103</v>
      </c>
      <c r="AD50" s="8" t="s">
        <v>85</v>
      </c>
      <c r="AE50" s="8" t="s">
        <v>211</v>
      </c>
      <c r="AF50" s="8" t="s">
        <v>299</v>
      </c>
      <c r="AG50" s="8" t="s">
        <v>88</v>
      </c>
      <c r="AH50" s="8" t="s">
        <v>125</v>
      </c>
      <c r="AI50" s="8">
        <v>0</v>
      </c>
      <c r="AJ50" s="8">
        <v>0</v>
      </c>
      <c r="AK50" s="8">
        <v>0.5</v>
      </c>
    </row>
    <row r="51" spans="2:37" s="1" customFormat="1" ht="16.5" x14ac:dyDescent="0.2">
      <c r="B51" s="7">
        <v>3043</v>
      </c>
      <c r="C51" s="8" t="s">
        <v>300</v>
      </c>
      <c r="D51" s="9">
        <v>1</v>
      </c>
      <c r="E51" s="13">
        <v>0</v>
      </c>
      <c r="F51" s="13">
        <v>0.4</v>
      </c>
      <c r="G51" s="9">
        <v>30</v>
      </c>
      <c r="H51" s="14">
        <v>85400</v>
      </c>
      <c r="I51" s="14">
        <v>924</v>
      </c>
      <c r="J51" s="14">
        <v>76860</v>
      </c>
      <c r="K51" s="14">
        <v>832</v>
      </c>
      <c r="L51" s="14">
        <v>2</v>
      </c>
      <c r="M51" s="14" t="s">
        <v>301</v>
      </c>
      <c r="N51" s="14" t="s">
        <v>302</v>
      </c>
      <c r="O51" s="18"/>
      <c r="P51" s="8">
        <v>75</v>
      </c>
      <c r="Q51" s="22">
        <v>130</v>
      </c>
      <c r="R51" s="8">
        <v>300</v>
      </c>
      <c r="S51" s="8"/>
      <c r="T51" s="8">
        <v>0</v>
      </c>
      <c r="U51" s="8">
        <v>3</v>
      </c>
      <c r="V51" s="8" t="s">
        <v>79</v>
      </c>
      <c r="W51" s="13">
        <v>6</v>
      </c>
      <c r="X51" s="8">
        <v>0</v>
      </c>
      <c r="Y51" s="22" t="s">
        <v>303</v>
      </c>
      <c r="Z51" s="8" t="s">
        <v>304</v>
      </c>
      <c r="AA51" s="8" t="s">
        <v>305</v>
      </c>
      <c r="AB51" s="8" t="s">
        <v>306</v>
      </c>
      <c r="AC51" s="8" t="s">
        <v>103</v>
      </c>
      <c r="AD51" s="8" t="s">
        <v>85</v>
      </c>
      <c r="AE51" s="8" t="s">
        <v>133</v>
      </c>
      <c r="AF51" s="8" t="s">
        <v>87</v>
      </c>
      <c r="AG51" s="8" t="s">
        <v>88</v>
      </c>
      <c r="AH51" s="8" t="s">
        <v>125</v>
      </c>
      <c r="AI51" s="8">
        <v>0</v>
      </c>
      <c r="AJ51" s="8">
        <v>0</v>
      </c>
      <c r="AK51" s="8">
        <v>0.5</v>
      </c>
    </row>
    <row r="52" spans="2:37" s="1" customFormat="1" ht="16.5" x14ac:dyDescent="0.2">
      <c r="B52" s="7">
        <v>3044</v>
      </c>
      <c r="C52" s="8" t="s">
        <v>307</v>
      </c>
      <c r="D52" s="9">
        <v>1</v>
      </c>
      <c r="E52" s="13">
        <v>0</v>
      </c>
      <c r="F52" s="13">
        <v>0.4</v>
      </c>
      <c r="G52" s="9">
        <v>30</v>
      </c>
      <c r="H52" s="14">
        <v>50400</v>
      </c>
      <c r="I52" s="14">
        <v>1568</v>
      </c>
      <c r="J52" s="14">
        <v>45360</v>
      </c>
      <c r="K52" s="14">
        <v>1411</v>
      </c>
      <c r="L52" s="14">
        <v>2</v>
      </c>
      <c r="M52" s="14" t="s">
        <v>308</v>
      </c>
      <c r="N52" s="14" t="s">
        <v>309</v>
      </c>
      <c r="O52" s="18"/>
      <c r="P52" s="8">
        <v>70</v>
      </c>
      <c r="Q52" s="22">
        <v>850</v>
      </c>
      <c r="R52" s="8">
        <v>300</v>
      </c>
      <c r="S52" s="8"/>
      <c r="T52" s="8">
        <v>1</v>
      </c>
      <c r="U52" s="8">
        <v>3</v>
      </c>
      <c r="V52" s="8" t="s">
        <v>118</v>
      </c>
      <c r="W52" s="13">
        <v>6</v>
      </c>
      <c r="X52" s="8">
        <v>0</v>
      </c>
      <c r="Y52" s="22" t="s">
        <v>303</v>
      </c>
      <c r="Z52" s="8" t="s">
        <v>310</v>
      </c>
      <c r="AA52" s="8" t="s">
        <v>311</v>
      </c>
      <c r="AB52" s="8" t="s">
        <v>312</v>
      </c>
      <c r="AC52" s="8" t="s">
        <v>103</v>
      </c>
      <c r="AD52" s="8" t="s">
        <v>85</v>
      </c>
      <c r="AE52" s="8" t="s">
        <v>133</v>
      </c>
      <c r="AF52" s="8" t="s">
        <v>87</v>
      </c>
      <c r="AG52" s="8" t="s">
        <v>88</v>
      </c>
      <c r="AH52" s="8" t="s">
        <v>125</v>
      </c>
      <c r="AI52" s="8">
        <v>0</v>
      </c>
      <c r="AJ52" s="8">
        <v>0</v>
      </c>
      <c r="AK52" s="8">
        <v>0.5</v>
      </c>
    </row>
    <row r="53" spans="2:37" s="1" customFormat="1" ht="16.5" x14ac:dyDescent="0.2">
      <c r="B53" s="7">
        <v>4001</v>
      </c>
      <c r="C53" s="8" t="s">
        <v>313</v>
      </c>
      <c r="D53" s="9">
        <v>0</v>
      </c>
      <c r="E53" s="13">
        <v>0</v>
      </c>
      <c r="F53" s="13">
        <v>0.4</v>
      </c>
      <c r="G53" s="9">
        <v>1</v>
      </c>
      <c r="H53" s="14">
        <v>374</v>
      </c>
      <c r="I53" s="14">
        <v>339</v>
      </c>
      <c r="J53" s="14">
        <v>337</v>
      </c>
      <c r="K53" s="14">
        <v>305</v>
      </c>
      <c r="L53" s="14">
        <v>1</v>
      </c>
      <c r="M53" s="14" t="s">
        <v>314</v>
      </c>
      <c r="N53" s="14" t="s">
        <v>315</v>
      </c>
      <c r="O53" s="18" t="s">
        <v>97</v>
      </c>
      <c r="P53" s="8">
        <v>200</v>
      </c>
      <c r="Q53" s="22">
        <v>130</v>
      </c>
      <c r="R53" s="8">
        <v>300</v>
      </c>
      <c r="S53" s="8"/>
      <c r="T53" s="8">
        <v>0</v>
      </c>
      <c r="U53" s="8">
        <v>4</v>
      </c>
      <c r="V53" s="8" t="s">
        <v>316</v>
      </c>
      <c r="W53" s="13">
        <v>12</v>
      </c>
      <c r="X53" s="8">
        <v>0</v>
      </c>
      <c r="Y53" s="22" t="s">
        <v>317</v>
      </c>
      <c r="Z53" s="8" t="s">
        <v>318</v>
      </c>
      <c r="AA53" s="8" t="s">
        <v>319</v>
      </c>
      <c r="AB53" s="8" t="s">
        <v>320</v>
      </c>
      <c r="AC53" s="8" t="s">
        <v>103</v>
      </c>
      <c r="AD53" s="8" t="s">
        <v>85</v>
      </c>
      <c r="AE53" s="8" t="s">
        <v>321</v>
      </c>
      <c r="AF53" s="8" t="s">
        <v>87</v>
      </c>
      <c r="AG53" s="8" t="s">
        <v>88</v>
      </c>
      <c r="AH53" s="8" t="s">
        <v>89</v>
      </c>
      <c r="AI53" s="8">
        <v>0</v>
      </c>
      <c r="AJ53" s="8">
        <v>0</v>
      </c>
      <c r="AK53" s="8">
        <v>1</v>
      </c>
    </row>
    <row r="54" spans="2:37" s="1" customFormat="1" ht="16.5" x14ac:dyDescent="0.2">
      <c r="B54" s="7">
        <v>4002</v>
      </c>
      <c r="C54" s="8" t="s">
        <v>322</v>
      </c>
      <c r="D54" s="9">
        <v>0</v>
      </c>
      <c r="E54" s="13">
        <v>0</v>
      </c>
      <c r="F54" s="13">
        <v>0.4</v>
      </c>
      <c r="G54" s="9">
        <v>3</v>
      </c>
      <c r="H54" s="14">
        <v>3413</v>
      </c>
      <c r="I54" s="14">
        <v>351</v>
      </c>
      <c r="J54" s="14">
        <v>3072</v>
      </c>
      <c r="K54" s="14">
        <v>316</v>
      </c>
      <c r="L54" s="14">
        <v>1</v>
      </c>
      <c r="M54" s="14" t="s">
        <v>323</v>
      </c>
      <c r="N54" s="14" t="s">
        <v>324</v>
      </c>
      <c r="O54" s="18" t="s">
        <v>325</v>
      </c>
      <c r="P54" s="8">
        <v>96</v>
      </c>
      <c r="Q54" s="22">
        <v>90</v>
      </c>
      <c r="R54" s="8">
        <v>300</v>
      </c>
      <c r="S54" s="8" t="s">
        <v>152</v>
      </c>
      <c r="T54" s="8">
        <v>0</v>
      </c>
      <c r="U54" s="8">
        <v>4</v>
      </c>
      <c r="V54" s="8" t="s">
        <v>326</v>
      </c>
      <c r="W54" s="13">
        <v>6</v>
      </c>
      <c r="X54" s="8">
        <v>0</v>
      </c>
      <c r="Y54" s="22" t="s">
        <v>327</v>
      </c>
      <c r="Z54" s="8" t="s">
        <v>328</v>
      </c>
      <c r="AA54" s="8" t="s">
        <v>329</v>
      </c>
      <c r="AB54" s="8" t="s">
        <v>330</v>
      </c>
      <c r="AC54" s="8" t="s">
        <v>84</v>
      </c>
      <c r="AD54" s="8" t="s">
        <v>85</v>
      </c>
      <c r="AE54" s="8" t="s">
        <v>86</v>
      </c>
      <c r="AF54" s="8" t="s">
        <v>87</v>
      </c>
      <c r="AG54" s="8" t="s">
        <v>88</v>
      </c>
      <c r="AH54" s="8" t="s">
        <v>89</v>
      </c>
      <c r="AI54" s="8">
        <v>0</v>
      </c>
      <c r="AJ54" s="8">
        <v>0</v>
      </c>
      <c r="AK54" s="8">
        <v>1</v>
      </c>
    </row>
    <row r="55" spans="2:37" s="1" customFormat="1" ht="16.5" x14ac:dyDescent="0.2">
      <c r="B55" s="7">
        <v>4011</v>
      </c>
      <c r="C55" s="8" t="s">
        <v>331</v>
      </c>
      <c r="D55" s="9">
        <v>0</v>
      </c>
      <c r="E55" s="13">
        <v>0</v>
      </c>
      <c r="F55" s="13">
        <v>0.4</v>
      </c>
      <c r="G55" s="9">
        <v>7</v>
      </c>
      <c r="H55" s="14">
        <v>5544</v>
      </c>
      <c r="I55" s="14">
        <v>428</v>
      </c>
      <c r="J55" s="14">
        <v>4990</v>
      </c>
      <c r="K55" s="14">
        <v>385</v>
      </c>
      <c r="L55" s="14">
        <v>3</v>
      </c>
      <c r="M55" s="14" t="s">
        <v>332</v>
      </c>
      <c r="N55" s="14" t="s">
        <v>333</v>
      </c>
      <c r="O55" s="18" t="s">
        <v>97</v>
      </c>
      <c r="P55" s="8">
        <v>47</v>
      </c>
      <c r="Q55" s="22">
        <v>560</v>
      </c>
      <c r="R55" s="8">
        <v>600</v>
      </c>
      <c r="S55" s="8"/>
      <c r="T55" s="8">
        <v>1</v>
      </c>
      <c r="U55" s="8">
        <v>4</v>
      </c>
      <c r="V55" s="8" t="s">
        <v>118</v>
      </c>
      <c r="W55" s="13">
        <v>5</v>
      </c>
      <c r="X55" s="8">
        <v>1001</v>
      </c>
      <c r="Y55" s="22" t="s">
        <v>334</v>
      </c>
      <c r="Z55" s="8" t="s">
        <v>335</v>
      </c>
      <c r="AA55" s="8" t="s">
        <v>336</v>
      </c>
      <c r="AB55" s="8" t="s">
        <v>337</v>
      </c>
      <c r="AC55" s="8" t="s">
        <v>103</v>
      </c>
      <c r="AD55" s="8" t="s">
        <v>85</v>
      </c>
      <c r="AE55" s="8" t="s">
        <v>338</v>
      </c>
      <c r="AF55" s="8" t="s">
        <v>87</v>
      </c>
      <c r="AG55" s="8" t="s">
        <v>88</v>
      </c>
      <c r="AH55" s="8" t="s">
        <v>114</v>
      </c>
      <c r="AI55" s="8">
        <v>0</v>
      </c>
      <c r="AJ55" s="8">
        <v>0</v>
      </c>
      <c r="AK55" s="8">
        <v>0.8</v>
      </c>
    </row>
    <row r="56" spans="2:37" s="1" customFormat="1" ht="16.5" x14ac:dyDescent="0.2">
      <c r="B56" s="7">
        <v>4021</v>
      </c>
      <c r="C56" s="8" t="s">
        <v>339</v>
      </c>
      <c r="D56" s="9">
        <v>1</v>
      </c>
      <c r="E56" s="13">
        <v>0</v>
      </c>
      <c r="F56" s="13">
        <v>0.4</v>
      </c>
      <c r="G56" s="9">
        <v>30</v>
      </c>
      <c r="H56" s="14">
        <v>77000</v>
      </c>
      <c r="I56" s="14">
        <v>1036</v>
      </c>
      <c r="J56" s="14">
        <v>69300</v>
      </c>
      <c r="K56" s="14">
        <v>932</v>
      </c>
      <c r="L56" s="14">
        <v>2</v>
      </c>
      <c r="M56" s="14" t="s">
        <v>340</v>
      </c>
      <c r="N56" s="14" t="s">
        <v>341</v>
      </c>
      <c r="O56" s="18"/>
      <c r="P56" s="8">
        <v>75</v>
      </c>
      <c r="Q56" s="22">
        <v>84</v>
      </c>
      <c r="R56" s="8">
        <v>300</v>
      </c>
      <c r="S56" s="8"/>
      <c r="T56" s="8">
        <v>0</v>
      </c>
      <c r="U56" s="8">
        <v>4</v>
      </c>
      <c r="V56" s="8" t="s">
        <v>79</v>
      </c>
      <c r="W56" s="13">
        <v>6</v>
      </c>
      <c r="X56" s="8">
        <v>0</v>
      </c>
      <c r="Y56" s="22" t="s">
        <v>342</v>
      </c>
      <c r="Z56" s="8" t="s">
        <v>343</v>
      </c>
      <c r="AA56" s="8" t="s">
        <v>344</v>
      </c>
      <c r="AB56" s="8" t="s">
        <v>345</v>
      </c>
      <c r="AC56" s="8" t="s">
        <v>103</v>
      </c>
      <c r="AD56" s="8" t="s">
        <v>85</v>
      </c>
      <c r="AE56" s="8" t="s">
        <v>164</v>
      </c>
      <c r="AF56" s="8" t="s">
        <v>87</v>
      </c>
      <c r="AG56" s="8" t="s">
        <v>88</v>
      </c>
      <c r="AH56" s="8" t="s">
        <v>125</v>
      </c>
      <c r="AI56" s="8">
        <v>0</v>
      </c>
      <c r="AJ56" s="8">
        <v>0</v>
      </c>
      <c r="AK56" s="8">
        <v>0.5</v>
      </c>
    </row>
    <row r="57" spans="2:37" s="1" customFormat="1" ht="16.5" x14ac:dyDescent="0.2">
      <c r="B57" s="7">
        <v>4022</v>
      </c>
      <c r="C57" s="8" t="s">
        <v>346</v>
      </c>
      <c r="D57" s="9">
        <v>1</v>
      </c>
      <c r="E57" s="13">
        <v>0</v>
      </c>
      <c r="F57" s="13">
        <v>0.4</v>
      </c>
      <c r="G57" s="9">
        <v>20</v>
      </c>
      <c r="H57" s="14">
        <v>17940</v>
      </c>
      <c r="I57" s="14">
        <v>802</v>
      </c>
      <c r="J57" s="14">
        <v>16146</v>
      </c>
      <c r="K57" s="14">
        <v>722</v>
      </c>
      <c r="L57" s="14">
        <v>2</v>
      </c>
      <c r="M57" s="14" t="s">
        <v>347</v>
      </c>
      <c r="N57" s="14" t="s">
        <v>294</v>
      </c>
      <c r="O57" s="18"/>
      <c r="P57" s="8">
        <v>70</v>
      </c>
      <c r="Q57" s="22">
        <v>320</v>
      </c>
      <c r="R57" s="8">
        <v>300</v>
      </c>
      <c r="S57" s="8"/>
      <c r="T57" s="8">
        <v>1</v>
      </c>
      <c r="U57" s="8">
        <v>4</v>
      </c>
      <c r="V57" s="8" t="s">
        <v>118</v>
      </c>
      <c r="W57" s="13">
        <v>6</v>
      </c>
      <c r="X57" s="8">
        <v>0</v>
      </c>
      <c r="Y57" s="22" t="s">
        <v>348</v>
      </c>
      <c r="Z57" s="8" t="s">
        <v>349</v>
      </c>
      <c r="AA57" s="8" t="s">
        <v>350</v>
      </c>
      <c r="AB57" s="8" t="s">
        <v>351</v>
      </c>
      <c r="AC57" s="8" t="s">
        <v>103</v>
      </c>
      <c r="AD57" s="8" t="s">
        <v>85</v>
      </c>
      <c r="AE57" s="8" t="s">
        <v>338</v>
      </c>
      <c r="AF57" s="8" t="s">
        <v>87</v>
      </c>
      <c r="AG57" s="8" t="s">
        <v>88</v>
      </c>
      <c r="AH57" s="8" t="s">
        <v>125</v>
      </c>
      <c r="AI57" s="8">
        <v>0</v>
      </c>
      <c r="AJ57" s="8">
        <v>0</v>
      </c>
      <c r="AK57" s="8">
        <v>0.5</v>
      </c>
    </row>
    <row r="58" spans="2:37" s="1" customFormat="1" ht="16.5" x14ac:dyDescent="0.2">
      <c r="B58" s="7">
        <v>4023</v>
      </c>
      <c r="C58" s="8" t="s">
        <v>352</v>
      </c>
      <c r="D58" s="9">
        <v>1</v>
      </c>
      <c r="E58" s="13">
        <v>0</v>
      </c>
      <c r="F58" s="13">
        <v>0.4</v>
      </c>
      <c r="G58" s="9">
        <v>30</v>
      </c>
      <c r="H58" s="14">
        <v>70000</v>
      </c>
      <c r="I58" s="14">
        <v>1120</v>
      </c>
      <c r="J58" s="14">
        <v>63000</v>
      </c>
      <c r="K58" s="14">
        <v>1008</v>
      </c>
      <c r="L58" s="14">
        <v>2</v>
      </c>
      <c r="M58" s="14" t="s">
        <v>353</v>
      </c>
      <c r="N58" s="14" t="s">
        <v>354</v>
      </c>
      <c r="O58" s="18"/>
      <c r="P58" s="8">
        <v>70</v>
      </c>
      <c r="Q58" s="22">
        <v>850</v>
      </c>
      <c r="R58" s="22">
        <v>850</v>
      </c>
      <c r="S58" s="8"/>
      <c r="T58" s="8">
        <v>1</v>
      </c>
      <c r="U58" s="8">
        <v>4</v>
      </c>
      <c r="V58" s="8" t="s">
        <v>118</v>
      </c>
      <c r="W58" s="13">
        <v>6</v>
      </c>
      <c r="X58" s="8">
        <v>0</v>
      </c>
      <c r="Y58" s="22" t="s">
        <v>355</v>
      </c>
      <c r="Z58" s="8" t="s">
        <v>356</v>
      </c>
      <c r="AA58" s="8" t="s">
        <v>357</v>
      </c>
      <c r="AB58" s="8" t="s">
        <v>358</v>
      </c>
      <c r="AC58" s="8" t="s">
        <v>103</v>
      </c>
      <c r="AD58" s="8" t="s">
        <v>85</v>
      </c>
      <c r="AE58" s="8" t="s">
        <v>359</v>
      </c>
      <c r="AF58" s="8" t="s">
        <v>87</v>
      </c>
      <c r="AG58" s="8" t="s">
        <v>88</v>
      </c>
      <c r="AH58" s="8" t="s">
        <v>125</v>
      </c>
      <c r="AI58" s="8">
        <v>0</v>
      </c>
      <c r="AJ58" s="8">
        <v>0</v>
      </c>
      <c r="AK58" s="8">
        <v>0.5</v>
      </c>
    </row>
    <row r="59" spans="2:37" s="1" customFormat="1" ht="16.5" x14ac:dyDescent="0.2">
      <c r="B59" s="7">
        <v>4024</v>
      </c>
      <c r="C59" s="8" t="s">
        <v>360</v>
      </c>
      <c r="D59" s="9">
        <v>1</v>
      </c>
      <c r="E59" s="13">
        <v>0</v>
      </c>
      <c r="F59" s="13">
        <v>0.4</v>
      </c>
      <c r="G59" s="9">
        <v>25</v>
      </c>
      <c r="H59" s="14">
        <v>25740</v>
      </c>
      <c r="I59" s="14">
        <v>1525</v>
      </c>
      <c r="J59" s="14">
        <v>23166</v>
      </c>
      <c r="K59" s="14">
        <v>1373</v>
      </c>
      <c r="L59" s="14">
        <v>2</v>
      </c>
      <c r="M59" s="14" t="s">
        <v>361</v>
      </c>
      <c r="N59" s="14" t="s">
        <v>362</v>
      </c>
      <c r="O59" s="18"/>
      <c r="P59" s="8">
        <v>80</v>
      </c>
      <c r="Q59" s="22">
        <v>320</v>
      </c>
      <c r="R59" s="8">
        <v>300</v>
      </c>
      <c r="S59" s="8"/>
      <c r="T59" s="8">
        <v>1</v>
      </c>
      <c r="U59" s="8">
        <v>4</v>
      </c>
      <c r="V59" s="8" t="s">
        <v>118</v>
      </c>
      <c r="W59" s="13">
        <v>6</v>
      </c>
      <c r="X59" s="8">
        <v>0</v>
      </c>
      <c r="Y59" s="22" t="s">
        <v>363</v>
      </c>
      <c r="Z59" s="8" t="s">
        <v>364</v>
      </c>
      <c r="AA59" s="8" t="s">
        <v>365</v>
      </c>
      <c r="AB59" s="8" t="s">
        <v>366</v>
      </c>
      <c r="AC59" s="8" t="s">
        <v>103</v>
      </c>
      <c r="AD59" s="8" t="s">
        <v>85</v>
      </c>
      <c r="AE59" s="8" t="s">
        <v>338</v>
      </c>
      <c r="AF59" s="8" t="s">
        <v>87</v>
      </c>
      <c r="AG59" s="8" t="s">
        <v>88</v>
      </c>
      <c r="AH59" s="8" t="s">
        <v>125</v>
      </c>
      <c r="AI59" s="8">
        <v>0</v>
      </c>
      <c r="AJ59" s="8">
        <v>0</v>
      </c>
      <c r="AK59" s="8">
        <v>0.5</v>
      </c>
    </row>
    <row r="60" spans="2:37" s="1" customFormat="1" ht="16.5" x14ac:dyDescent="0.2">
      <c r="B60" s="7">
        <v>4998</v>
      </c>
      <c r="C60" s="8" t="s">
        <v>367</v>
      </c>
      <c r="D60" s="9">
        <v>2</v>
      </c>
      <c r="E60" s="13">
        <v>0</v>
      </c>
      <c r="F60" s="13">
        <v>0.4</v>
      </c>
      <c r="G60" s="9">
        <v>0</v>
      </c>
      <c r="H60" s="14">
        <v>6900</v>
      </c>
      <c r="I60" s="14">
        <v>264</v>
      </c>
      <c r="J60" s="14">
        <v>6210</v>
      </c>
      <c r="K60" s="14">
        <v>238</v>
      </c>
      <c r="L60" s="14">
        <v>1</v>
      </c>
      <c r="M60" s="14" t="s">
        <v>368</v>
      </c>
      <c r="N60" s="14" t="s">
        <v>369</v>
      </c>
      <c r="O60" s="18"/>
      <c r="P60" s="8">
        <v>0</v>
      </c>
      <c r="Q60" s="22">
        <v>320</v>
      </c>
      <c r="R60" s="22">
        <v>320</v>
      </c>
      <c r="S60" s="8"/>
      <c r="T60" s="8">
        <v>1</v>
      </c>
      <c r="U60" s="8">
        <v>4</v>
      </c>
      <c r="V60" s="8"/>
      <c r="W60" s="13">
        <v>12</v>
      </c>
      <c r="X60" s="8">
        <v>0</v>
      </c>
      <c r="Y60" s="22" t="s">
        <v>370</v>
      </c>
      <c r="Z60" s="8" t="s">
        <v>371</v>
      </c>
      <c r="AA60" s="8" t="s">
        <v>372</v>
      </c>
      <c r="AB60" s="8" t="s">
        <v>373</v>
      </c>
      <c r="AC60" s="8" t="s">
        <v>103</v>
      </c>
      <c r="AD60" s="8" t="s">
        <v>85</v>
      </c>
      <c r="AE60" s="8" t="s">
        <v>374</v>
      </c>
      <c r="AF60" s="8" t="s">
        <v>87</v>
      </c>
      <c r="AG60" s="8" t="s">
        <v>88</v>
      </c>
      <c r="AH60" s="8" t="s">
        <v>89</v>
      </c>
      <c r="AI60" s="13">
        <v>0.38</v>
      </c>
      <c r="AJ60" s="13">
        <v>0.33</v>
      </c>
      <c r="AK60" s="8">
        <v>1</v>
      </c>
    </row>
    <row r="61" spans="2:37" s="2" customFormat="1" ht="16.5" x14ac:dyDescent="0.2">
      <c r="B61" s="10">
        <v>14998</v>
      </c>
      <c r="C61" s="11" t="s">
        <v>375</v>
      </c>
      <c r="D61" s="12">
        <v>14</v>
      </c>
      <c r="E61" s="15">
        <v>0</v>
      </c>
      <c r="F61" s="15">
        <v>0.4</v>
      </c>
      <c r="G61" s="12">
        <v>0</v>
      </c>
      <c r="H61" s="16">
        <v>1000</v>
      </c>
      <c r="I61" s="16">
        <v>200</v>
      </c>
      <c r="J61" s="16">
        <v>900</v>
      </c>
      <c r="K61" s="16">
        <v>180</v>
      </c>
      <c r="L61" s="16">
        <v>1</v>
      </c>
      <c r="M61" s="16" t="s">
        <v>376</v>
      </c>
      <c r="N61" s="16" t="s">
        <v>376</v>
      </c>
      <c r="O61" s="19"/>
      <c r="P61" s="11">
        <v>0</v>
      </c>
      <c r="Q61" s="23">
        <v>320</v>
      </c>
      <c r="R61" s="23">
        <v>320</v>
      </c>
      <c r="S61" s="11"/>
      <c r="T61" s="11">
        <v>0</v>
      </c>
      <c r="U61" s="11">
        <v>1</v>
      </c>
      <c r="V61" s="11"/>
      <c r="W61" s="15">
        <v>12</v>
      </c>
      <c r="X61" s="11">
        <v>0</v>
      </c>
      <c r="Y61" s="23" t="s">
        <v>377</v>
      </c>
      <c r="Z61" s="11" t="s">
        <v>378</v>
      </c>
      <c r="AA61" s="11" t="s">
        <v>379</v>
      </c>
      <c r="AB61" s="11" t="s">
        <v>380</v>
      </c>
      <c r="AC61" s="11" t="s">
        <v>103</v>
      </c>
      <c r="AD61" s="11" t="s">
        <v>85</v>
      </c>
      <c r="AE61" s="11" t="s">
        <v>374</v>
      </c>
      <c r="AF61" s="11" t="s">
        <v>87</v>
      </c>
      <c r="AG61" s="11" t="s">
        <v>88</v>
      </c>
      <c r="AH61" s="11" t="s">
        <v>89</v>
      </c>
      <c r="AI61" s="15">
        <v>0.38</v>
      </c>
      <c r="AJ61" s="15">
        <v>0.33</v>
      </c>
      <c r="AK61" s="11">
        <v>1</v>
      </c>
    </row>
    <row r="62" spans="2:37" s="2" customFormat="1" ht="16.5" x14ac:dyDescent="0.2">
      <c r="B62" s="10">
        <v>5000</v>
      </c>
      <c r="C62" s="11" t="s">
        <v>381</v>
      </c>
      <c r="D62" s="12">
        <v>0</v>
      </c>
      <c r="E62" s="15">
        <v>0</v>
      </c>
      <c r="F62" s="15">
        <v>0.4</v>
      </c>
      <c r="G62" s="12">
        <v>0</v>
      </c>
      <c r="H62" s="16">
        <v>15000</v>
      </c>
      <c r="I62" s="16">
        <v>3000</v>
      </c>
      <c r="J62" s="16">
        <v>13500</v>
      </c>
      <c r="K62" s="16">
        <v>2700</v>
      </c>
      <c r="L62" s="16">
        <v>1</v>
      </c>
      <c r="M62" s="16" t="s">
        <v>382</v>
      </c>
      <c r="N62" s="16" t="s">
        <v>383</v>
      </c>
      <c r="O62" s="19"/>
      <c r="P62" s="11">
        <v>80</v>
      </c>
      <c r="Q62" s="23">
        <v>630</v>
      </c>
      <c r="R62" s="11">
        <v>450</v>
      </c>
      <c r="S62" s="11"/>
      <c r="T62" s="11">
        <v>2</v>
      </c>
      <c r="U62" s="11">
        <v>1</v>
      </c>
      <c r="V62" s="11" t="s">
        <v>118</v>
      </c>
      <c r="W62" s="15">
        <v>2</v>
      </c>
      <c r="X62" s="11">
        <v>1001</v>
      </c>
      <c r="Y62" s="23" t="s">
        <v>384</v>
      </c>
      <c r="Z62" s="11" t="s">
        <v>385</v>
      </c>
      <c r="AA62" s="11" t="s">
        <v>386</v>
      </c>
      <c r="AB62" s="11" t="s">
        <v>387</v>
      </c>
      <c r="AC62" s="11" t="s">
        <v>187</v>
      </c>
      <c r="AD62" s="11" t="s">
        <v>85</v>
      </c>
      <c r="AE62" s="11" t="s">
        <v>254</v>
      </c>
      <c r="AF62" s="11" t="s">
        <v>87</v>
      </c>
      <c r="AG62" s="11" t="s">
        <v>88</v>
      </c>
      <c r="AH62" s="11" t="s">
        <v>89</v>
      </c>
      <c r="AI62" s="11">
        <v>0</v>
      </c>
      <c r="AJ62" s="11">
        <v>0</v>
      </c>
      <c r="AK62" s="11">
        <v>1</v>
      </c>
    </row>
    <row r="63" spans="2:37" s="2" customFormat="1" ht="16.5" x14ac:dyDescent="0.2">
      <c r="B63" s="10">
        <v>5001</v>
      </c>
      <c r="C63" s="11" t="s">
        <v>388</v>
      </c>
      <c r="D63" s="12">
        <v>11</v>
      </c>
      <c r="E63" s="15">
        <v>0</v>
      </c>
      <c r="F63" s="15">
        <v>0.4</v>
      </c>
      <c r="G63" s="12">
        <v>0</v>
      </c>
      <c r="H63" s="16">
        <v>15000</v>
      </c>
      <c r="I63" s="16">
        <v>3000</v>
      </c>
      <c r="J63" s="16">
        <v>13500</v>
      </c>
      <c r="K63" s="16">
        <v>2700</v>
      </c>
      <c r="L63" s="16">
        <v>1</v>
      </c>
      <c r="M63" s="16" t="s">
        <v>376</v>
      </c>
      <c r="N63" s="16" t="s">
        <v>376</v>
      </c>
      <c r="O63" s="19"/>
      <c r="P63" s="11">
        <v>80</v>
      </c>
      <c r="Q63" s="23">
        <v>630</v>
      </c>
      <c r="R63" s="11">
        <v>450</v>
      </c>
      <c r="S63" s="11"/>
      <c r="T63" s="11">
        <v>2</v>
      </c>
      <c r="U63" s="11">
        <v>1</v>
      </c>
      <c r="V63" s="11"/>
      <c r="W63" s="15">
        <v>6</v>
      </c>
      <c r="X63" s="11">
        <v>1001</v>
      </c>
      <c r="Y63" s="23" t="s">
        <v>389</v>
      </c>
      <c r="Z63" s="11" t="s">
        <v>390</v>
      </c>
      <c r="AA63" s="11" t="s">
        <v>391</v>
      </c>
      <c r="AB63" s="11" t="s">
        <v>392</v>
      </c>
      <c r="AC63" s="11" t="s">
        <v>187</v>
      </c>
      <c r="AD63" s="11" t="s">
        <v>393</v>
      </c>
      <c r="AE63" s="11" t="s">
        <v>254</v>
      </c>
      <c r="AF63" s="11" t="s">
        <v>87</v>
      </c>
      <c r="AG63" s="11" t="s">
        <v>88</v>
      </c>
      <c r="AH63" s="11" t="s">
        <v>89</v>
      </c>
      <c r="AI63" s="11">
        <v>0</v>
      </c>
      <c r="AJ63" s="11">
        <v>0</v>
      </c>
      <c r="AK63" s="11">
        <v>1</v>
      </c>
    </row>
    <row r="64" spans="2:37" s="2" customFormat="1" ht="16.5" x14ac:dyDescent="0.2">
      <c r="B64" s="10">
        <v>11001</v>
      </c>
      <c r="C64" s="11" t="s">
        <v>394</v>
      </c>
      <c r="D64" s="12">
        <v>11</v>
      </c>
      <c r="E64" s="15">
        <f t="shared" ref="E64:E88" si="0">ROUND(SQRT(H64*I64*L64)/400,1)</f>
        <v>1.1000000000000001</v>
      </c>
      <c r="F64" s="15">
        <v>0.4</v>
      </c>
      <c r="G64" s="12">
        <v>0</v>
      </c>
      <c r="H64" s="16">
        <v>1000</v>
      </c>
      <c r="I64" s="16">
        <v>200</v>
      </c>
      <c r="J64" s="16">
        <v>900</v>
      </c>
      <c r="K64" s="16">
        <v>180</v>
      </c>
      <c r="L64" s="16">
        <v>1</v>
      </c>
      <c r="M64" s="16" t="s">
        <v>376</v>
      </c>
      <c r="N64" s="16" t="s">
        <v>376</v>
      </c>
      <c r="O64" s="19"/>
      <c r="P64" s="11">
        <v>75</v>
      </c>
      <c r="Q64" s="23">
        <v>56</v>
      </c>
      <c r="R64" s="11">
        <v>300</v>
      </c>
      <c r="S64" s="11"/>
      <c r="T64" s="11">
        <v>0</v>
      </c>
      <c r="U64" s="11">
        <v>1</v>
      </c>
      <c r="V64" s="11"/>
      <c r="W64" s="15">
        <v>12</v>
      </c>
      <c r="X64" s="11">
        <v>0</v>
      </c>
      <c r="Y64" s="23" t="s">
        <v>395</v>
      </c>
      <c r="Z64" s="11" t="s">
        <v>396</v>
      </c>
      <c r="AA64" s="11" t="s">
        <v>397</v>
      </c>
      <c r="AB64" s="11" t="s">
        <v>398</v>
      </c>
      <c r="AC64" s="11" t="s">
        <v>84</v>
      </c>
      <c r="AD64" s="11" t="s">
        <v>85</v>
      </c>
      <c r="AE64" s="11" t="s">
        <v>86</v>
      </c>
      <c r="AF64" s="11" t="s">
        <v>87</v>
      </c>
      <c r="AG64" s="11" t="s">
        <v>88</v>
      </c>
      <c r="AH64" s="11" t="s">
        <v>89</v>
      </c>
      <c r="AI64" s="11">
        <v>0</v>
      </c>
      <c r="AJ64" s="11">
        <v>0</v>
      </c>
      <c r="AK64" s="11">
        <v>1</v>
      </c>
    </row>
    <row r="65" spans="2:37" s="2" customFormat="1" ht="16.5" x14ac:dyDescent="0.2">
      <c r="B65" s="10">
        <v>11011</v>
      </c>
      <c r="C65" s="11" t="s">
        <v>399</v>
      </c>
      <c r="D65" s="12">
        <v>11</v>
      </c>
      <c r="E65" s="15">
        <f t="shared" si="0"/>
        <v>8.4</v>
      </c>
      <c r="F65" s="15">
        <v>0.4</v>
      </c>
      <c r="G65" s="12">
        <v>0</v>
      </c>
      <c r="H65" s="16">
        <v>6600</v>
      </c>
      <c r="I65" s="16">
        <v>680</v>
      </c>
      <c r="J65" s="16">
        <v>5940</v>
      </c>
      <c r="K65" s="16">
        <v>612</v>
      </c>
      <c r="L65" s="16">
        <v>2.5</v>
      </c>
      <c r="M65" s="16" t="s">
        <v>376</v>
      </c>
      <c r="N65" s="16" t="s">
        <v>376</v>
      </c>
      <c r="O65" s="19" t="s">
        <v>97</v>
      </c>
      <c r="P65" s="11">
        <v>71</v>
      </c>
      <c r="Q65" s="23">
        <v>150</v>
      </c>
      <c r="R65" s="11">
        <v>330</v>
      </c>
      <c r="S65" s="11"/>
      <c r="T65" s="11">
        <v>1</v>
      </c>
      <c r="U65" s="11">
        <v>1</v>
      </c>
      <c r="V65" s="11" t="s">
        <v>279</v>
      </c>
      <c r="W65" s="15">
        <v>6</v>
      </c>
      <c r="X65" s="11">
        <v>1001</v>
      </c>
      <c r="Y65" s="23" t="s">
        <v>400</v>
      </c>
      <c r="Z65" s="11" t="s">
        <v>401</v>
      </c>
      <c r="AA65" s="11" t="s">
        <v>402</v>
      </c>
      <c r="AB65" s="11" t="s">
        <v>403</v>
      </c>
      <c r="AC65" s="11" t="s">
        <v>103</v>
      </c>
      <c r="AD65" s="11" t="s">
        <v>85</v>
      </c>
      <c r="AE65" s="11" t="s">
        <v>104</v>
      </c>
      <c r="AF65" s="11" t="s">
        <v>87</v>
      </c>
      <c r="AG65" s="11" t="s">
        <v>88</v>
      </c>
      <c r="AH65" s="11" t="s">
        <v>89</v>
      </c>
      <c r="AI65" s="11">
        <v>0</v>
      </c>
      <c r="AJ65" s="11">
        <v>0</v>
      </c>
      <c r="AK65" s="11">
        <v>1</v>
      </c>
    </row>
    <row r="66" spans="2:37" s="2" customFormat="1" ht="16.5" x14ac:dyDescent="0.2">
      <c r="B66" s="10">
        <v>11012</v>
      </c>
      <c r="C66" s="11" t="s">
        <v>404</v>
      </c>
      <c r="D66" s="12">
        <v>11</v>
      </c>
      <c r="E66" s="15">
        <f t="shared" si="0"/>
        <v>8.1999999999999993</v>
      </c>
      <c r="F66" s="15">
        <v>0.4</v>
      </c>
      <c r="G66" s="12">
        <v>0</v>
      </c>
      <c r="H66" s="16">
        <v>12000</v>
      </c>
      <c r="I66" s="16">
        <v>600</v>
      </c>
      <c r="J66" s="16">
        <v>10800</v>
      </c>
      <c r="K66" s="16">
        <v>540</v>
      </c>
      <c r="L66" s="16">
        <v>1.5</v>
      </c>
      <c r="M66" s="16" t="s">
        <v>376</v>
      </c>
      <c r="N66" s="16" t="s">
        <v>376</v>
      </c>
      <c r="O66" s="19" t="s">
        <v>405</v>
      </c>
      <c r="P66" s="11">
        <v>160</v>
      </c>
      <c r="Q66" s="23">
        <v>56</v>
      </c>
      <c r="R66" s="11">
        <v>300</v>
      </c>
      <c r="S66" s="11"/>
      <c r="T66" s="11">
        <v>0</v>
      </c>
      <c r="U66" s="11">
        <v>1</v>
      </c>
      <c r="V66" s="11" t="s">
        <v>79</v>
      </c>
      <c r="W66" s="15">
        <v>6</v>
      </c>
      <c r="X66" s="11">
        <v>0</v>
      </c>
      <c r="Y66" s="23" t="s">
        <v>406</v>
      </c>
      <c r="Z66" s="11" t="s">
        <v>407</v>
      </c>
      <c r="AA66" s="11" t="s">
        <v>408</v>
      </c>
      <c r="AB66" s="11" t="s">
        <v>409</v>
      </c>
      <c r="AC66" s="11" t="s">
        <v>84</v>
      </c>
      <c r="AD66" s="11" t="s">
        <v>85</v>
      </c>
      <c r="AE66" s="11" t="s">
        <v>113</v>
      </c>
      <c r="AF66" s="11" t="s">
        <v>87</v>
      </c>
      <c r="AG66" s="11" t="s">
        <v>88</v>
      </c>
      <c r="AH66" s="11" t="s">
        <v>114</v>
      </c>
      <c r="AI66" s="11">
        <v>0</v>
      </c>
      <c r="AJ66" s="11">
        <v>0</v>
      </c>
      <c r="AK66" s="11">
        <v>0.3</v>
      </c>
    </row>
    <row r="67" spans="2:37" s="2" customFormat="1" ht="16.5" x14ac:dyDescent="0.2">
      <c r="B67" s="10">
        <v>12001</v>
      </c>
      <c r="C67" s="11" t="s">
        <v>410</v>
      </c>
      <c r="D67" s="12">
        <v>11</v>
      </c>
      <c r="E67" s="15">
        <f t="shared" si="0"/>
        <v>10.5</v>
      </c>
      <c r="F67" s="15">
        <v>0.4</v>
      </c>
      <c r="G67" s="12">
        <v>0</v>
      </c>
      <c r="H67" s="16">
        <v>3500</v>
      </c>
      <c r="I67" s="16">
        <v>1000</v>
      </c>
      <c r="J67" s="16">
        <v>3150</v>
      </c>
      <c r="K67" s="16">
        <v>900</v>
      </c>
      <c r="L67" s="16">
        <v>5</v>
      </c>
      <c r="M67" s="16" t="s">
        <v>376</v>
      </c>
      <c r="N67" s="16" t="s">
        <v>376</v>
      </c>
      <c r="O67" s="19" t="s">
        <v>405</v>
      </c>
      <c r="P67" s="11">
        <v>48</v>
      </c>
      <c r="Q67" s="23">
        <v>840</v>
      </c>
      <c r="R67" s="11">
        <v>900</v>
      </c>
      <c r="S67" s="11"/>
      <c r="T67" s="11">
        <v>1</v>
      </c>
      <c r="U67" s="11">
        <v>2</v>
      </c>
      <c r="V67" s="11" t="s">
        <v>411</v>
      </c>
      <c r="W67" s="15">
        <v>8</v>
      </c>
      <c r="X67" s="11">
        <v>1001</v>
      </c>
      <c r="Y67" s="23" t="s">
        <v>412</v>
      </c>
      <c r="Z67" s="11" t="s">
        <v>413</v>
      </c>
      <c r="AA67" s="11" t="s">
        <v>414</v>
      </c>
      <c r="AB67" s="11" t="s">
        <v>415</v>
      </c>
      <c r="AC67" s="11" t="s">
        <v>187</v>
      </c>
      <c r="AD67" s="11" t="s">
        <v>85</v>
      </c>
      <c r="AE67" s="11" t="s">
        <v>87</v>
      </c>
      <c r="AF67" s="11" t="s">
        <v>87</v>
      </c>
      <c r="AG67" s="11" t="s">
        <v>88</v>
      </c>
      <c r="AH67" s="11" t="s">
        <v>89</v>
      </c>
      <c r="AI67" s="11">
        <v>0</v>
      </c>
      <c r="AJ67" s="11">
        <v>0</v>
      </c>
      <c r="AK67" s="11">
        <v>1</v>
      </c>
    </row>
    <row r="68" spans="2:37" s="2" customFormat="1" ht="16.5" x14ac:dyDescent="0.2">
      <c r="B68" s="10">
        <v>12011</v>
      </c>
      <c r="C68" s="11" t="s">
        <v>416</v>
      </c>
      <c r="D68" s="12">
        <v>11</v>
      </c>
      <c r="E68" s="15">
        <f t="shared" si="0"/>
        <v>2.2000000000000002</v>
      </c>
      <c r="F68" s="15">
        <v>0.4</v>
      </c>
      <c r="G68" s="12">
        <v>0</v>
      </c>
      <c r="H68" s="16">
        <v>1000</v>
      </c>
      <c r="I68" s="16">
        <v>360</v>
      </c>
      <c r="J68" s="16">
        <v>900</v>
      </c>
      <c r="K68" s="16">
        <v>324</v>
      </c>
      <c r="L68" s="16">
        <v>2.1</v>
      </c>
      <c r="M68" s="16" t="s">
        <v>376</v>
      </c>
      <c r="N68" s="16" t="s">
        <v>376</v>
      </c>
      <c r="O68" s="19"/>
      <c r="P68" s="11">
        <v>60</v>
      </c>
      <c r="Q68" s="23">
        <v>490</v>
      </c>
      <c r="R68" s="11">
        <v>525</v>
      </c>
      <c r="S68" s="11"/>
      <c r="T68" s="11">
        <v>1</v>
      </c>
      <c r="U68" s="11">
        <v>2</v>
      </c>
      <c r="V68" s="11"/>
      <c r="W68" s="15">
        <v>12</v>
      </c>
      <c r="X68" s="11">
        <v>1001</v>
      </c>
      <c r="Y68" s="23" t="s">
        <v>417</v>
      </c>
      <c r="Z68" s="11" t="s">
        <v>418</v>
      </c>
      <c r="AA68" s="11" t="s">
        <v>419</v>
      </c>
      <c r="AB68" s="11" t="s">
        <v>420</v>
      </c>
      <c r="AC68" s="11" t="s">
        <v>103</v>
      </c>
      <c r="AD68" s="11" t="s">
        <v>85</v>
      </c>
      <c r="AE68" s="11" t="s">
        <v>87</v>
      </c>
      <c r="AF68" s="11" t="s">
        <v>87</v>
      </c>
      <c r="AG68" s="11" t="s">
        <v>88</v>
      </c>
      <c r="AH68" s="11" t="s">
        <v>89</v>
      </c>
      <c r="AI68" s="11">
        <v>0</v>
      </c>
      <c r="AJ68" s="11">
        <v>0</v>
      </c>
      <c r="AK68" s="11">
        <v>1</v>
      </c>
    </row>
    <row r="69" spans="2:37" s="2" customFormat="1" ht="16.5" x14ac:dyDescent="0.2">
      <c r="B69" s="10">
        <v>12012</v>
      </c>
      <c r="C69" s="11" t="s">
        <v>421</v>
      </c>
      <c r="D69" s="12">
        <v>11</v>
      </c>
      <c r="E69" s="15">
        <f t="shared" si="0"/>
        <v>17</v>
      </c>
      <c r="F69" s="15">
        <v>0.4</v>
      </c>
      <c r="G69" s="12">
        <v>0</v>
      </c>
      <c r="H69" s="16">
        <v>20000</v>
      </c>
      <c r="I69" s="16">
        <v>460</v>
      </c>
      <c r="J69" s="16">
        <v>18000</v>
      </c>
      <c r="K69" s="16">
        <v>414</v>
      </c>
      <c r="L69" s="16">
        <v>5</v>
      </c>
      <c r="M69" s="16" t="s">
        <v>376</v>
      </c>
      <c r="N69" s="16" t="s">
        <v>376</v>
      </c>
      <c r="O69" s="19" t="s">
        <v>422</v>
      </c>
      <c r="P69" s="11">
        <v>48</v>
      </c>
      <c r="Q69" s="23">
        <v>80</v>
      </c>
      <c r="R69" s="11">
        <v>300</v>
      </c>
      <c r="S69" s="11" t="s">
        <v>198</v>
      </c>
      <c r="T69" s="11">
        <v>0</v>
      </c>
      <c r="U69" s="11">
        <v>2</v>
      </c>
      <c r="V69" s="11" t="s">
        <v>79</v>
      </c>
      <c r="W69" s="15">
        <v>5</v>
      </c>
      <c r="X69" s="11">
        <v>0</v>
      </c>
      <c r="Y69" s="23" t="s">
        <v>423</v>
      </c>
      <c r="Z69" s="11" t="s">
        <v>424</v>
      </c>
      <c r="AA69" s="11" t="s">
        <v>425</v>
      </c>
      <c r="AB69" s="11" t="s">
        <v>426</v>
      </c>
      <c r="AC69" s="11" t="s">
        <v>103</v>
      </c>
      <c r="AD69" s="11" t="s">
        <v>85</v>
      </c>
      <c r="AE69" s="11" t="s">
        <v>203</v>
      </c>
      <c r="AF69" s="11" t="s">
        <v>87</v>
      </c>
      <c r="AG69" s="11" t="s">
        <v>88</v>
      </c>
      <c r="AH69" s="11" t="s">
        <v>114</v>
      </c>
      <c r="AI69" s="11">
        <v>0</v>
      </c>
      <c r="AJ69" s="11">
        <v>0</v>
      </c>
      <c r="AK69" s="11">
        <v>0.3</v>
      </c>
    </row>
    <row r="70" spans="2:37" s="2" customFormat="1" ht="16.5" x14ac:dyDescent="0.2">
      <c r="B70" s="10">
        <v>13001</v>
      </c>
      <c r="C70" s="11" t="s">
        <v>427</v>
      </c>
      <c r="D70" s="12">
        <v>11</v>
      </c>
      <c r="E70" s="15">
        <f t="shared" si="0"/>
        <v>0.6</v>
      </c>
      <c r="F70" s="15">
        <v>0.4</v>
      </c>
      <c r="G70" s="12">
        <v>0</v>
      </c>
      <c r="H70" s="16">
        <v>360</v>
      </c>
      <c r="I70" s="16">
        <v>140</v>
      </c>
      <c r="J70" s="16">
        <v>324</v>
      </c>
      <c r="K70" s="16">
        <v>126</v>
      </c>
      <c r="L70" s="16">
        <v>1.2</v>
      </c>
      <c r="M70" s="16" t="s">
        <v>376</v>
      </c>
      <c r="N70" s="16" t="s">
        <v>376</v>
      </c>
      <c r="O70" s="19"/>
      <c r="P70" s="11">
        <v>65</v>
      </c>
      <c r="Q70" s="23">
        <v>420</v>
      </c>
      <c r="R70" s="11">
        <v>450</v>
      </c>
      <c r="S70" s="11"/>
      <c r="T70" s="11">
        <v>1</v>
      </c>
      <c r="U70" s="11">
        <v>3</v>
      </c>
      <c r="V70" s="11" t="s">
        <v>411</v>
      </c>
      <c r="W70" s="15">
        <v>12</v>
      </c>
      <c r="X70" s="11">
        <v>1001</v>
      </c>
      <c r="Y70" s="23" t="s">
        <v>428</v>
      </c>
      <c r="Z70" s="11" t="s">
        <v>429</v>
      </c>
      <c r="AA70" s="11" t="s">
        <v>430</v>
      </c>
      <c r="AB70" s="11" t="s">
        <v>431</v>
      </c>
      <c r="AC70" s="11" t="s">
        <v>187</v>
      </c>
      <c r="AD70" s="11" t="s">
        <v>393</v>
      </c>
      <c r="AE70" s="11" t="s">
        <v>254</v>
      </c>
      <c r="AF70" s="11" t="s">
        <v>87</v>
      </c>
      <c r="AG70" s="11" t="s">
        <v>88</v>
      </c>
      <c r="AH70" s="11" t="s">
        <v>89</v>
      </c>
      <c r="AI70" s="11">
        <v>0</v>
      </c>
      <c r="AJ70" s="11">
        <v>0</v>
      </c>
      <c r="AK70" s="11">
        <v>1</v>
      </c>
    </row>
    <row r="71" spans="2:37" s="2" customFormat="1" ht="16.5" x14ac:dyDescent="0.2">
      <c r="B71" s="10">
        <v>13021</v>
      </c>
      <c r="C71" s="11" t="s">
        <v>432</v>
      </c>
      <c r="D71" s="12">
        <v>11</v>
      </c>
      <c r="E71" s="15">
        <f t="shared" si="0"/>
        <v>10.7</v>
      </c>
      <c r="F71" s="15">
        <v>0.4</v>
      </c>
      <c r="G71" s="12">
        <v>0</v>
      </c>
      <c r="H71" s="16">
        <v>16000</v>
      </c>
      <c r="I71" s="16">
        <v>380</v>
      </c>
      <c r="J71" s="16">
        <v>14400</v>
      </c>
      <c r="K71" s="16">
        <v>342</v>
      </c>
      <c r="L71" s="16">
        <v>3</v>
      </c>
      <c r="M71" s="16" t="s">
        <v>376</v>
      </c>
      <c r="N71" s="16" t="s">
        <v>376</v>
      </c>
      <c r="O71" s="19" t="s">
        <v>433</v>
      </c>
      <c r="P71" s="11">
        <v>56</v>
      </c>
      <c r="Q71" s="23">
        <v>100</v>
      </c>
      <c r="R71" s="11">
        <v>300</v>
      </c>
      <c r="S71" s="11"/>
      <c r="T71" s="11">
        <v>0</v>
      </c>
      <c r="U71" s="11">
        <v>3</v>
      </c>
      <c r="V71" s="11" t="s">
        <v>279</v>
      </c>
      <c r="W71" s="15">
        <v>5</v>
      </c>
      <c r="X71" s="11">
        <v>0</v>
      </c>
      <c r="Y71" s="23" t="s">
        <v>434</v>
      </c>
      <c r="Z71" s="11" t="s">
        <v>435</v>
      </c>
      <c r="AA71" s="11" t="s">
        <v>436</v>
      </c>
      <c r="AB71" s="11" t="s">
        <v>437</v>
      </c>
      <c r="AC71" s="11" t="s">
        <v>103</v>
      </c>
      <c r="AD71" s="11" t="s">
        <v>85</v>
      </c>
      <c r="AE71" s="11" t="s">
        <v>268</v>
      </c>
      <c r="AF71" s="11" t="s">
        <v>87</v>
      </c>
      <c r="AG71" s="11" t="s">
        <v>88</v>
      </c>
      <c r="AH71" s="11" t="s">
        <v>114</v>
      </c>
      <c r="AI71" s="11">
        <v>0</v>
      </c>
      <c r="AJ71" s="11">
        <v>0</v>
      </c>
      <c r="AK71" s="11">
        <v>0.3</v>
      </c>
    </row>
    <row r="72" spans="2:37" s="2" customFormat="1" ht="16.5" x14ac:dyDescent="0.2">
      <c r="B72" s="10">
        <v>13022</v>
      </c>
      <c r="C72" s="11" t="s">
        <v>438</v>
      </c>
      <c r="D72" s="12">
        <v>14</v>
      </c>
      <c r="E72" s="15">
        <f t="shared" si="0"/>
        <v>0.1</v>
      </c>
      <c r="F72" s="15">
        <v>0.4</v>
      </c>
      <c r="G72" s="12">
        <v>0</v>
      </c>
      <c r="H72" s="16">
        <v>100</v>
      </c>
      <c r="I72" s="16">
        <v>20</v>
      </c>
      <c r="J72" s="16">
        <v>90</v>
      </c>
      <c r="K72" s="16">
        <v>18</v>
      </c>
      <c r="L72" s="16">
        <v>1</v>
      </c>
      <c r="M72" s="16" t="s">
        <v>376</v>
      </c>
      <c r="N72" s="16" t="s">
        <v>376</v>
      </c>
      <c r="O72" s="19"/>
      <c r="P72" s="11">
        <v>48</v>
      </c>
      <c r="Q72" s="23">
        <v>84</v>
      </c>
      <c r="R72" s="11">
        <v>300</v>
      </c>
      <c r="S72" s="11"/>
      <c r="T72" s="11">
        <v>0</v>
      </c>
      <c r="U72" s="11">
        <v>3</v>
      </c>
      <c r="V72" s="11" t="s">
        <v>279</v>
      </c>
      <c r="W72" s="15">
        <v>12</v>
      </c>
      <c r="X72" s="11">
        <v>0</v>
      </c>
      <c r="Y72" s="23" t="s">
        <v>439</v>
      </c>
      <c r="Z72" s="11" t="s">
        <v>440</v>
      </c>
      <c r="AA72" s="11" t="s">
        <v>441</v>
      </c>
      <c r="AB72" s="11" t="s">
        <v>442</v>
      </c>
      <c r="AC72" s="11" t="s">
        <v>103</v>
      </c>
      <c r="AD72" s="11" t="s">
        <v>85</v>
      </c>
      <c r="AE72" s="11" t="s">
        <v>87</v>
      </c>
      <c r="AF72" s="11" t="s">
        <v>87</v>
      </c>
      <c r="AG72" s="11" t="s">
        <v>88</v>
      </c>
      <c r="AH72" s="11" t="s">
        <v>89</v>
      </c>
      <c r="AI72" s="15">
        <v>0.22</v>
      </c>
      <c r="AJ72" s="15">
        <v>0.35</v>
      </c>
      <c r="AK72" s="11">
        <v>1</v>
      </c>
    </row>
    <row r="73" spans="2:37" s="2" customFormat="1" ht="16.5" x14ac:dyDescent="0.2">
      <c r="B73" s="10">
        <v>13031</v>
      </c>
      <c r="C73" s="11" t="s">
        <v>443</v>
      </c>
      <c r="D73" s="12">
        <v>11</v>
      </c>
      <c r="E73" s="15">
        <f t="shared" si="0"/>
        <v>4.9000000000000004</v>
      </c>
      <c r="F73" s="15">
        <v>0.4</v>
      </c>
      <c r="G73" s="12">
        <v>0</v>
      </c>
      <c r="H73" s="16">
        <v>2500</v>
      </c>
      <c r="I73" s="16">
        <v>520</v>
      </c>
      <c r="J73" s="16">
        <v>2250</v>
      </c>
      <c r="K73" s="16">
        <v>468</v>
      </c>
      <c r="L73" s="16">
        <v>3</v>
      </c>
      <c r="M73" s="16" t="s">
        <v>376</v>
      </c>
      <c r="N73" s="16" t="s">
        <v>376</v>
      </c>
      <c r="O73" s="19" t="s">
        <v>405</v>
      </c>
      <c r="P73" s="11">
        <v>56</v>
      </c>
      <c r="Q73" s="23">
        <v>560</v>
      </c>
      <c r="R73" s="11">
        <v>600</v>
      </c>
      <c r="S73" s="11"/>
      <c r="T73" s="11">
        <v>1</v>
      </c>
      <c r="U73" s="11">
        <v>3</v>
      </c>
      <c r="V73" s="11" t="s">
        <v>411</v>
      </c>
      <c r="W73" s="15">
        <v>6</v>
      </c>
      <c r="X73" s="11">
        <v>1001</v>
      </c>
      <c r="Y73" s="23" t="s">
        <v>444</v>
      </c>
      <c r="Z73" s="11" t="s">
        <v>445</v>
      </c>
      <c r="AA73" s="11" t="s">
        <v>446</v>
      </c>
      <c r="AB73" s="11" t="s">
        <v>447</v>
      </c>
      <c r="AC73" s="11" t="s">
        <v>187</v>
      </c>
      <c r="AD73" s="11" t="s">
        <v>85</v>
      </c>
      <c r="AE73" s="11" t="s">
        <v>284</v>
      </c>
      <c r="AF73" s="11" t="s">
        <v>87</v>
      </c>
      <c r="AG73" s="11" t="s">
        <v>88</v>
      </c>
      <c r="AH73" s="11" t="s">
        <v>89</v>
      </c>
      <c r="AI73" s="11">
        <v>0</v>
      </c>
      <c r="AJ73" s="11">
        <v>0</v>
      </c>
      <c r="AK73" s="11">
        <v>1</v>
      </c>
    </row>
    <row r="74" spans="2:37" s="2" customFormat="1" ht="16.5" x14ac:dyDescent="0.2">
      <c r="B74" s="10">
        <v>14001</v>
      </c>
      <c r="C74" s="11" t="s">
        <v>448</v>
      </c>
      <c r="D74" s="12">
        <v>11</v>
      </c>
      <c r="E74" s="15">
        <f t="shared" si="0"/>
        <v>2.7</v>
      </c>
      <c r="F74" s="15">
        <v>0.4</v>
      </c>
      <c r="G74" s="12">
        <v>0</v>
      </c>
      <c r="H74" s="16">
        <v>1000</v>
      </c>
      <c r="I74" s="16">
        <v>1200</v>
      </c>
      <c r="J74" s="16">
        <v>900</v>
      </c>
      <c r="K74" s="16">
        <v>1080</v>
      </c>
      <c r="L74" s="16">
        <v>1</v>
      </c>
      <c r="M74" s="16" t="s">
        <v>376</v>
      </c>
      <c r="N74" s="16" t="s">
        <v>376</v>
      </c>
      <c r="O74" s="19" t="s">
        <v>449</v>
      </c>
      <c r="P74" s="11">
        <v>200</v>
      </c>
      <c r="Q74" s="23">
        <v>130</v>
      </c>
      <c r="R74" s="11">
        <v>300</v>
      </c>
      <c r="S74" s="11"/>
      <c r="T74" s="11">
        <v>0</v>
      </c>
      <c r="U74" s="11">
        <v>4</v>
      </c>
      <c r="V74" s="11" t="s">
        <v>279</v>
      </c>
      <c r="W74" s="15">
        <v>12</v>
      </c>
      <c r="X74" s="11">
        <v>0</v>
      </c>
      <c r="Y74" s="23" t="s">
        <v>450</v>
      </c>
      <c r="Z74" s="11" t="s">
        <v>451</v>
      </c>
      <c r="AA74" s="11" t="s">
        <v>452</v>
      </c>
      <c r="AB74" s="11" t="s">
        <v>453</v>
      </c>
      <c r="AC74" s="11" t="s">
        <v>103</v>
      </c>
      <c r="AD74" s="11" t="s">
        <v>85</v>
      </c>
      <c r="AE74" s="11" t="s">
        <v>321</v>
      </c>
      <c r="AF74" s="11" t="s">
        <v>87</v>
      </c>
      <c r="AG74" s="11" t="s">
        <v>88</v>
      </c>
      <c r="AH74" s="11" t="s">
        <v>89</v>
      </c>
      <c r="AI74" s="11">
        <v>0</v>
      </c>
      <c r="AJ74" s="11">
        <v>0</v>
      </c>
      <c r="AK74" s="11">
        <v>1</v>
      </c>
    </row>
    <row r="75" spans="2:37" s="2" customFormat="1" ht="16.5" x14ac:dyDescent="0.2">
      <c r="B75" s="10">
        <v>14002</v>
      </c>
      <c r="C75" s="11" t="s">
        <v>454</v>
      </c>
      <c r="D75" s="12">
        <v>11</v>
      </c>
      <c r="E75" s="15">
        <f t="shared" si="0"/>
        <v>3.1</v>
      </c>
      <c r="F75" s="15">
        <v>0.4</v>
      </c>
      <c r="G75" s="12">
        <v>0</v>
      </c>
      <c r="H75" s="16">
        <v>3500</v>
      </c>
      <c r="I75" s="16">
        <v>440</v>
      </c>
      <c r="J75" s="16">
        <v>3150</v>
      </c>
      <c r="K75" s="16">
        <v>396</v>
      </c>
      <c r="L75" s="16">
        <v>1</v>
      </c>
      <c r="M75" s="16" t="s">
        <v>376</v>
      </c>
      <c r="N75" s="16" t="s">
        <v>376</v>
      </c>
      <c r="O75" s="19" t="s">
        <v>405</v>
      </c>
      <c r="P75" s="11">
        <v>96</v>
      </c>
      <c r="Q75" s="23">
        <v>90</v>
      </c>
      <c r="R75" s="11">
        <v>300</v>
      </c>
      <c r="S75" s="11" t="s">
        <v>455</v>
      </c>
      <c r="T75" s="11">
        <v>0</v>
      </c>
      <c r="U75" s="11">
        <v>4</v>
      </c>
      <c r="V75" s="11"/>
      <c r="W75" s="15">
        <v>6</v>
      </c>
      <c r="X75" s="11">
        <v>0</v>
      </c>
      <c r="Y75" s="23" t="s">
        <v>456</v>
      </c>
      <c r="Z75" s="11" t="s">
        <v>457</v>
      </c>
      <c r="AA75" s="11" t="s">
        <v>458</v>
      </c>
      <c r="AB75" s="11" t="s">
        <v>459</v>
      </c>
      <c r="AC75" s="11" t="s">
        <v>84</v>
      </c>
      <c r="AD75" s="11" t="s">
        <v>85</v>
      </c>
      <c r="AE75" s="11" t="s">
        <v>86</v>
      </c>
      <c r="AF75" s="11" t="s">
        <v>87</v>
      </c>
      <c r="AG75" s="11" t="s">
        <v>88</v>
      </c>
      <c r="AH75" s="11" t="s">
        <v>89</v>
      </c>
      <c r="AI75" s="11">
        <v>0</v>
      </c>
      <c r="AJ75" s="11">
        <v>0</v>
      </c>
      <c r="AK75" s="11">
        <v>1</v>
      </c>
    </row>
    <row r="76" spans="2:37" s="2" customFormat="1" ht="16.5" x14ac:dyDescent="0.2">
      <c r="B76" s="10">
        <v>14011</v>
      </c>
      <c r="C76" s="11" t="s">
        <v>460</v>
      </c>
      <c r="D76" s="12">
        <v>11</v>
      </c>
      <c r="E76" s="15">
        <f t="shared" si="0"/>
        <v>10.199999999999999</v>
      </c>
      <c r="F76" s="15">
        <v>0.4</v>
      </c>
      <c r="G76" s="12">
        <v>0</v>
      </c>
      <c r="H76" s="16">
        <v>5500</v>
      </c>
      <c r="I76" s="16">
        <v>1000</v>
      </c>
      <c r="J76" s="16">
        <v>4950</v>
      </c>
      <c r="K76" s="16">
        <v>900</v>
      </c>
      <c r="L76" s="16">
        <v>3</v>
      </c>
      <c r="M76" s="16" t="s">
        <v>376</v>
      </c>
      <c r="N76" s="16" t="s">
        <v>376</v>
      </c>
      <c r="O76" s="19" t="s">
        <v>405</v>
      </c>
      <c r="P76" s="11">
        <v>47</v>
      </c>
      <c r="Q76" s="23">
        <v>560</v>
      </c>
      <c r="R76" s="11">
        <v>600</v>
      </c>
      <c r="S76" s="11"/>
      <c r="T76" s="11">
        <v>1</v>
      </c>
      <c r="U76" s="11">
        <v>4</v>
      </c>
      <c r="V76" s="11" t="s">
        <v>279</v>
      </c>
      <c r="W76" s="15">
        <v>5</v>
      </c>
      <c r="X76" s="11">
        <v>1001</v>
      </c>
      <c r="Y76" s="23" t="s">
        <v>461</v>
      </c>
      <c r="Z76" s="11" t="s">
        <v>462</v>
      </c>
      <c r="AA76" s="11" t="s">
        <v>463</v>
      </c>
      <c r="AB76" s="11" t="s">
        <v>464</v>
      </c>
      <c r="AC76" s="11" t="s">
        <v>103</v>
      </c>
      <c r="AD76" s="11" t="s">
        <v>85</v>
      </c>
      <c r="AE76" s="11" t="s">
        <v>338</v>
      </c>
      <c r="AF76" s="11" t="s">
        <v>87</v>
      </c>
      <c r="AG76" s="11" t="s">
        <v>88</v>
      </c>
      <c r="AH76" s="11" t="s">
        <v>114</v>
      </c>
      <c r="AI76" s="11">
        <v>0</v>
      </c>
      <c r="AJ76" s="11">
        <v>0</v>
      </c>
      <c r="AK76" s="11">
        <v>0.8</v>
      </c>
    </row>
    <row r="77" spans="2:37" s="2" customFormat="1" ht="16.5" x14ac:dyDescent="0.2">
      <c r="B77" s="24">
        <v>81001</v>
      </c>
      <c r="C77" s="25" t="s">
        <v>465</v>
      </c>
      <c r="D77" s="26">
        <v>11</v>
      </c>
      <c r="E77" s="30">
        <f t="shared" si="0"/>
        <v>2.2000000000000002</v>
      </c>
      <c r="F77" s="30">
        <v>0.4</v>
      </c>
      <c r="G77" s="26">
        <v>0</v>
      </c>
      <c r="H77" s="16">
        <v>2000</v>
      </c>
      <c r="I77" s="16">
        <v>400</v>
      </c>
      <c r="J77" s="16">
        <v>1800</v>
      </c>
      <c r="K77" s="16">
        <v>360</v>
      </c>
      <c r="L77" s="30">
        <v>1</v>
      </c>
      <c r="M77" s="30" t="s">
        <v>376</v>
      </c>
      <c r="N77" s="30" t="s">
        <v>376</v>
      </c>
      <c r="O77" s="33"/>
      <c r="P77" s="25">
        <v>75</v>
      </c>
      <c r="Q77" s="35">
        <v>56</v>
      </c>
      <c r="R77" s="25">
        <v>300</v>
      </c>
      <c r="S77" s="25"/>
      <c r="T77" s="25">
        <v>0</v>
      </c>
      <c r="U77" s="25">
        <v>1</v>
      </c>
      <c r="V77" s="25"/>
      <c r="W77" s="30">
        <v>12</v>
      </c>
      <c r="X77" s="25">
        <v>0</v>
      </c>
      <c r="Y77" s="35" t="s">
        <v>466</v>
      </c>
      <c r="Z77" s="25" t="s">
        <v>467</v>
      </c>
      <c r="AA77" s="25" t="s">
        <v>468</v>
      </c>
      <c r="AB77" s="25" t="s">
        <v>469</v>
      </c>
      <c r="AC77" s="25" t="s">
        <v>84</v>
      </c>
      <c r="AD77" s="25" t="s">
        <v>85</v>
      </c>
      <c r="AE77" s="25" t="s">
        <v>86</v>
      </c>
      <c r="AF77" s="25" t="s">
        <v>87</v>
      </c>
      <c r="AG77" s="25" t="s">
        <v>88</v>
      </c>
      <c r="AH77" s="25" t="s">
        <v>89</v>
      </c>
      <c r="AI77" s="25">
        <v>0</v>
      </c>
      <c r="AJ77" s="25">
        <v>0</v>
      </c>
      <c r="AK77" s="25">
        <v>0.8</v>
      </c>
    </row>
    <row r="78" spans="2:37" s="2" customFormat="1" ht="16.5" x14ac:dyDescent="0.2">
      <c r="B78" s="24">
        <v>81011</v>
      </c>
      <c r="C78" s="25" t="s">
        <v>470</v>
      </c>
      <c r="D78" s="26">
        <v>11</v>
      </c>
      <c r="E78" s="30">
        <f t="shared" si="0"/>
        <v>23.8</v>
      </c>
      <c r="F78" s="30">
        <v>0.4</v>
      </c>
      <c r="G78" s="26">
        <v>0</v>
      </c>
      <c r="H78" s="16">
        <v>20000</v>
      </c>
      <c r="I78" s="16">
        <v>1820</v>
      </c>
      <c r="J78" s="16">
        <v>18000</v>
      </c>
      <c r="K78" s="16">
        <v>1638</v>
      </c>
      <c r="L78" s="30">
        <v>2.5</v>
      </c>
      <c r="M78" s="30" t="s">
        <v>376</v>
      </c>
      <c r="N78" s="30" t="s">
        <v>376</v>
      </c>
      <c r="O78" s="33" t="s">
        <v>405</v>
      </c>
      <c r="P78" s="25">
        <v>71</v>
      </c>
      <c r="Q78" s="35">
        <v>150</v>
      </c>
      <c r="R78" s="25">
        <v>330</v>
      </c>
      <c r="S78" s="25"/>
      <c r="T78" s="25">
        <v>1</v>
      </c>
      <c r="U78" s="25">
        <v>1</v>
      </c>
      <c r="V78" s="25" t="s">
        <v>279</v>
      </c>
      <c r="W78" s="30">
        <v>6</v>
      </c>
      <c r="X78" s="25">
        <v>1001</v>
      </c>
      <c r="Y78" s="35" t="s">
        <v>471</v>
      </c>
      <c r="Z78" s="25" t="s">
        <v>472</v>
      </c>
      <c r="AA78" s="25" t="s">
        <v>473</v>
      </c>
      <c r="AB78" s="25" t="s">
        <v>474</v>
      </c>
      <c r="AC78" s="25" t="s">
        <v>103</v>
      </c>
      <c r="AD78" s="25" t="s">
        <v>85</v>
      </c>
      <c r="AE78" s="25" t="s">
        <v>475</v>
      </c>
      <c r="AF78" s="25" t="s">
        <v>87</v>
      </c>
      <c r="AG78" s="25" t="s">
        <v>88</v>
      </c>
      <c r="AH78" s="25" t="s">
        <v>89</v>
      </c>
      <c r="AI78" s="25">
        <v>0</v>
      </c>
      <c r="AJ78" s="25">
        <v>0</v>
      </c>
      <c r="AK78" s="25">
        <v>0.8</v>
      </c>
    </row>
    <row r="79" spans="2:37" s="2" customFormat="1" ht="16.5" x14ac:dyDescent="0.2">
      <c r="B79" s="24">
        <v>81012</v>
      </c>
      <c r="C79" s="25" t="s">
        <v>476</v>
      </c>
      <c r="D79" s="26">
        <v>11</v>
      </c>
      <c r="E79" s="30">
        <f t="shared" si="0"/>
        <v>19.3</v>
      </c>
      <c r="F79" s="30">
        <v>0.4</v>
      </c>
      <c r="G79" s="26">
        <v>0</v>
      </c>
      <c r="H79" s="16">
        <v>30000</v>
      </c>
      <c r="I79" s="16">
        <v>1320</v>
      </c>
      <c r="J79" s="16">
        <v>27000</v>
      </c>
      <c r="K79" s="16">
        <v>1188</v>
      </c>
      <c r="L79" s="30">
        <v>1.5</v>
      </c>
      <c r="M79" s="30" t="s">
        <v>376</v>
      </c>
      <c r="N79" s="30" t="s">
        <v>376</v>
      </c>
      <c r="O79" s="33" t="s">
        <v>405</v>
      </c>
      <c r="P79" s="25">
        <v>135</v>
      </c>
      <c r="Q79" s="35">
        <v>56</v>
      </c>
      <c r="R79" s="25">
        <v>300</v>
      </c>
      <c r="S79" s="25"/>
      <c r="T79" s="25">
        <v>0</v>
      </c>
      <c r="U79" s="25">
        <v>1</v>
      </c>
      <c r="V79" s="25" t="s">
        <v>79</v>
      </c>
      <c r="W79" s="30">
        <v>6</v>
      </c>
      <c r="X79" s="25">
        <v>0</v>
      </c>
      <c r="Y79" s="35" t="s">
        <v>477</v>
      </c>
      <c r="Z79" s="25" t="s">
        <v>478</v>
      </c>
      <c r="AA79" s="25" t="s">
        <v>479</v>
      </c>
      <c r="AB79" s="25" t="s">
        <v>480</v>
      </c>
      <c r="AC79" s="25" t="s">
        <v>84</v>
      </c>
      <c r="AD79" s="25" t="s">
        <v>85</v>
      </c>
      <c r="AE79" s="25" t="s">
        <v>113</v>
      </c>
      <c r="AF79" s="25" t="s">
        <v>87</v>
      </c>
      <c r="AG79" s="25" t="s">
        <v>88</v>
      </c>
      <c r="AH79" s="25" t="s">
        <v>114</v>
      </c>
      <c r="AI79" s="25">
        <v>0</v>
      </c>
      <c r="AJ79" s="25">
        <v>0</v>
      </c>
      <c r="AK79" s="25">
        <v>0.2</v>
      </c>
    </row>
    <row r="80" spans="2:37" s="2" customFormat="1" ht="16.5" x14ac:dyDescent="0.2">
      <c r="B80" s="24">
        <v>82001</v>
      </c>
      <c r="C80" s="25" t="s">
        <v>481</v>
      </c>
      <c r="D80" s="26">
        <v>11</v>
      </c>
      <c r="E80" s="30">
        <f t="shared" si="0"/>
        <v>25.2</v>
      </c>
      <c r="F80" s="30">
        <v>0.4</v>
      </c>
      <c r="G80" s="26">
        <v>0</v>
      </c>
      <c r="H80" s="16">
        <v>5100</v>
      </c>
      <c r="I80" s="16">
        <v>4000</v>
      </c>
      <c r="J80" s="16">
        <v>4590</v>
      </c>
      <c r="K80" s="16">
        <v>3600</v>
      </c>
      <c r="L80" s="30">
        <v>5</v>
      </c>
      <c r="M80" s="30" t="s">
        <v>376</v>
      </c>
      <c r="N80" s="30" t="s">
        <v>376</v>
      </c>
      <c r="O80" s="33" t="s">
        <v>405</v>
      </c>
      <c r="P80" s="25">
        <v>48</v>
      </c>
      <c r="Q80" s="35">
        <v>840</v>
      </c>
      <c r="R80" s="25">
        <v>900</v>
      </c>
      <c r="S80" s="25"/>
      <c r="T80" s="25">
        <v>1</v>
      </c>
      <c r="U80" s="25">
        <v>2</v>
      </c>
      <c r="V80" s="25" t="s">
        <v>411</v>
      </c>
      <c r="W80" s="30">
        <v>8</v>
      </c>
      <c r="X80" s="25">
        <v>1001</v>
      </c>
      <c r="Y80" s="35" t="s">
        <v>482</v>
      </c>
      <c r="Z80" s="25" t="s">
        <v>483</v>
      </c>
      <c r="AA80" s="25" t="s">
        <v>484</v>
      </c>
      <c r="AB80" s="25" t="s">
        <v>485</v>
      </c>
      <c r="AC80" s="25" t="s">
        <v>187</v>
      </c>
      <c r="AD80" s="25" t="s">
        <v>85</v>
      </c>
      <c r="AE80" s="25" t="s">
        <v>87</v>
      </c>
      <c r="AF80" s="25" t="s">
        <v>87</v>
      </c>
      <c r="AG80" s="25" t="s">
        <v>88</v>
      </c>
      <c r="AH80" s="25" t="s">
        <v>89</v>
      </c>
      <c r="AI80" s="25">
        <v>0</v>
      </c>
      <c r="AJ80" s="25">
        <v>0</v>
      </c>
      <c r="AK80" s="25">
        <v>0.8</v>
      </c>
    </row>
    <row r="81" spans="2:37" s="2" customFormat="1" ht="16.5" x14ac:dyDescent="0.2">
      <c r="B81" s="24">
        <v>82011</v>
      </c>
      <c r="C81" s="25" t="s">
        <v>486</v>
      </c>
      <c r="D81" s="26">
        <v>11</v>
      </c>
      <c r="E81" s="30">
        <f t="shared" si="0"/>
        <v>6.3</v>
      </c>
      <c r="F81" s="30">
        <v>0.4</v>
      </c>
      <c r="G81" s="26">
        <v>0</v>
      </c>
      <c r="H81" s="16">
        <v>2500</v>
      </c>
      <c r="I81" s="16">
        <v>1200</v>
      </c>
      <c r="J81" s="16">
        <v>2250</v>
      </c>
      <c r="K81" s="16">
        <v>1080</v>
      </c>
      <c r="L81" s="30">
        <v>2.1</v>
      </c>
      <c r="M81" s="30" t="s">
        <v>376</v>
      </c>
      <c r="N81" s="30" t="s">
        <v>376</v>
      </c>
      <c r="O81" s="33" t="s">
        <v>405</v>
      </c>
      <c r="P81" s="25">
        <v>64</v>
      </c>
      <c r="Q81" s="35">
        <v>490</v>
      </c>
      <c r="R81" s="25">
        <v>525</v>
      </c>
      <c r="S81" s="25"/>
      <c r="T81" s="25">
        <v>1</v>
      </c>
      <c r="U81" s="25">
        <v>2</v>
      </c>
      <c r="V81" s="25"/>
      <c r="W81" s="30">
        <v>12</v>
      </c>
      <c r="X81" s="25">
        <v>1001</v>
      </c>
      <c r="Y81" s="35" t="s">
        <v>487</v>
      </c>
      <c r="Z81" s="25" t="s">
        <v>488</v>
      </c>
      <c r="AA81" s="25" t="s">
        <v>489</v>
      </c>
      <c r="AB81" s="25" t="s">
        <v>490</v>
      </c>
      <c r="AC81" s="25" t="s">
        <v>103</v>
      </c>
      <c r="AD81" s="25" t="s">
        <v>85</v>
      </c>
      <c r="AE81" s="25" t="s">
        <v>87</v>
      </c>
      <c r="AF81" s="25" t="s">
        <v>87</v>
      </c>
      <c r="AG81" s="25" t="s">
        <v>88</v>
      </c>
      <c r="AH81" s="25" t="s">
        <v>89</v>
      </c>
      <c r="AI81" s="25">
        <v>0</v>
      </c>
      <c r="AJ81" s="25">
        <v>0</v>
      </c>
      <c r="AK81" s="25">
        <v>0.8</v>
      </c>
    </row>
    <row r="82" spans="2:37" s="2" customFormat="1" ht="16.5" x14ac:dyDescent="0.2">
      <c r="B82" s="24">
        <v>82012</v>
      </c>
      <c r="C82" s="25" t="s">
        <v>491</v>
      </c>
      <c r="D82" s="26">
        <v>11</v>
      </c>
      <c r="E82" s="30">
        <f t="shared" si="0"/>
        <v>54.8</v>
      </c>
      <c r="F82" s="30">
        <v>0.4</v>
      </c>
      <c r="G82" s="26">
        <v>0</v>
      </c>
      <c r="H82" s="16">
        <v>60000</v>
      </c>
      <c r="I82" s="16">
        <v>1600</v>
      </c>
      <c r="J82" s="16">
        <v>54000</v>
      </c>
      <c r="K82" s="16">
        <v>1440</v>
      </c>
      <c r="L82" s="30">
        <v>5</v>
      </c>
      <c r="M82" s="30" t="s">
        <v>376</v>
      </c>
      <c r="N82" s="30" t="s">
        <v>376</v>
      </c>
      <c r="O82" s="33" t="s">
        <v>492</v>
      </c>
      <c r="P82" s="25">
        <v>48</v>
      </c>
      <c r="Q82" s="35">
        <v>84</v>
      </c>
      <c r="R82" s="25">
        <v>300</v>
      </c>
      <c r="S82" s="25" t="s">
        <v>493</v>
      </c>
      <c r="T82" s="25">
        <v>0</v>
      </c>
      <c r="U82" s="25">
        <v>2</v>
      </c>
      <c r="V82" s="25" t="s">
        <v>279</v>
      </c>
      <c r="W82" s="30">
        <v>5</v>
      </c>
      <c r="X82" s="25">
        <v>0</v>
      </c>
      <c r="Y82" s="35" t="s">
        <v>494</v>
      </c>
      <c r="Z82" s="25" t="s">
        <v>495</v>
      </c>
      <c r="AA82" s="25" t="s">
        <v>496</v>
      </c>
      <c r="AB82" s="25" t="s">
        <v>497</v>
      </c>
      <c r="AC82" s="25" t="s">
        <v>103</v>
      </c>
      <c r="AD82" s="25" t="s">
        <v>85</v>
      </c>
      <c r="AE82" s="25" t="s">
        <v>203</v>
      </c>
      <c r="AF82" s="25" t="s">
        <v>87</v>
      </c>
      <c r="AG82" s="25" t="s">
        <v>88</v>
      </c>
      <c r="AH82" s="25" t="s">
        <v>114</v>
      </c>
      <c r="AI82" s="25">
        <v>0</v>
      </c>
      <c r="AJ82" s="25">
        <v>0</v>
      </c>
      <c r="AK82" s="25">
        <v>0.2</v>
      </c>
    </row>
    <row r="83" spans="2:37" s="2" customFormat="1" ht="16.5" x14ac:dyDescent="0.2">
      <c r="B83" s="24">
        <v>83001</v>
      </c>
      <c r="C83" s="25" t="s">
        <v>498</v>
      </c>
      <c r="D83" s="26">
        <v>11</v>
      </c>
      <c r="E83" s="30">
        <f t="shared" si="0"/>
        <v>2.1</v>
      </c>
      <c r="F83" s="30">
        <v>0.4</v>
      </c>
      <c r="G83" s="26">
        <v>0</v>
      </c>
      <c r="H83" s="16">
        <v>1100</v>
      </c>
      <c r="I83" s="16">
        <v>560</v>
      </c>
      <c r="J83" s="16">
        <v>990</v>
      </c>
      <c r="K83" s="16">
        <v>504</v>
      </c>
      <c r="L83" s="30">
        <v>1.2</v>
      </c>
      <c r="M83" s="30" t="s">
        <v>376</v>
      </c>
      <c r="N83" s="30" t="s">
        <v>376</v>
      </c>
      <c r="O83" s="33" t="s">
        <v>405</v>
      </c>
      <c r="P83" s="25">
        <v>75</v>
      </c>
      <c r="Q83" s="35">
        <v>420</v>
      </c>
      <c r="R83" s="25">
        <v>450</v>
      </c>
      <c r="S83" s="25"/>
      <c r="T83" s="25">
        <v>1</v>
      </c>
      <c r="U83" s="25">
        <v>3</v>
      </c>
      <c r="V83" s="25" t="s">
        <v>411</v>
      </c>
      <c r="W83" s="30">
        <v>12</v>
      </c>
      <c r="X83" s="25">
        <v>1001</v>
      </c>
      <c r="Y83" s="35" t="s">
        <v>499</v>
      </c>
      <c r="Z83" s="25" t="s">
        <v>500</v>
      </c>
      <c r="AA83" s="25" t="s">
        <v>501</v>
      </c>
      <c r="AB83" s="25" t="s">
        <v>502</v>
      </c>
      <c r="AC83" s="25" t="s">
        <v>187</v>
      </c>
      <c r="AD83" s="25" t="s">
        <v>393</v>
      </c>
      <c r="AE83" s="25" t="s">
        <v>254</v>
      </c>
      <c r="AF83" s="25" t="s">
        <v>87</v>
      </c>
      <c r="AG83" s="25" t="s">
        <v>88</v>
      </c>
      <c r="AH83" s="25" t="s">
        <v>89</v>
      </c>
      <c r="AI83" s="25">
        <v>0</v>
      </c>
      <c r="AJ83" s="25">
        <v>0</v>
      </c>
      <c r="AK83" s="25">
        <v>0.8</v>
      </c>
    </row>
    <row r="84" spans="2:37" s="2" customFormat="1" ht="16.5" x14ac:dyDescent="0.2">
      <c r="B84" s="24">
        <v>83021</v>
      </c>
      <c r="C84" s="25" t="s">
        <v>503</v>
      </c>
      <c r="D84" s="26">
        <v>11</v>
      </c>
      <c r="E84" s="30">
        <f t="shared" si="0"/>
        <v>33.5</v>
      </c>
      <c r="F84" s="30">
        <v>0.4</v>
      </c>
      <c r="G84" s="26">
        <v>0</v>
      </c>
      <c r="H84" s="16">
        <v>50000</v>
      </c>
      <c r="I84" s="16">
        <v>1200</v>
      </c>
      <c r="J84" s="16">
        <v>45000</v>
      </c>
      <c r="K84" s="16">
        <v>1080</v>
      </c>
      <c r="L84" s="30">
        <v>3</v>
      </c>
      <c r="M84" s="30" t="s">
        <v>376</v>
      </c>
      <c r="N84" s="30" t="s">
        <v>376</v>
      </c>
      <c r="O84" s="33" t="s">
        <v>405</v>
      </c>
      <c r="P84" s="25">
        <v>56</v>
      </c>
      <c r="Q84" s="35">
        <v>100</v>
      </c>
      <c r="R84" s="25">
        <v>300</v>
      </c>
      <c r="S84" s="25"/>
      <c r="T84" s="25">
        <v>0</v>
      </c>
      <c r="U84" s="25">
        <v>3</v>
      </c>
      <c r="V84" s="25" t="s">
        <v>279</v>
      </c>
      <c r="W84" s="30">
        <v>5</v>
      </c>
      <c r="X84" s="25">
        <v>0</v>
      </c>
      <c r="Y84" s="35" t="s">
        <v>504</v>
      </c>
      <c r="Z84" s="25" t="s">
        <v>505</v>
      </c>
      <c r="AA84" s="25" t="s">
        <v>506</v>
      </c>
      <c r="AB84" s="25" t="s">
        <v>507</v>
      </c>
      <c r="AC84" s="25" t="s">
        <v>103</v>
      </c>
      <c r="AD84" s="25" t="s">
        <v>85</v>
      </c>
      <c r="AE84" s="25" t="s">
        <v>268</v>
      </c>
      <c r="AF84" s="25" t="s">
        <v>87</v>
      </c>
      <c r="AG84" s="25" t="s">
        <v>88</v>
      </c>
      <c r="AH84" s="25" t="s">
        <v>114</v>
      </c>
      <c r="AI84" s="25">
        <v>0</v>
      </c>
      <c r="AJ84" s="25">
        <v>0</v>
      </c>
      <c r="AK84" s="25">
        <v>0.2</v>
      </c>
    </row>
    <row r="85" spans="2:37" s="2" customFormat="1" ht="16.5" x14ac:dyDescent="0.2">
      <c r="B85" s="24">
        <v>83031</v>
      </c>
      <c r="C85" s="25" t="s">
        <v>508</v>
      </c>
      <c r="D85" s="26">
        <v>11</v>
      </c>
      <c r="E85" s="30">
        <f t="shared" si="0"/>
        <v>12.5</v>
      </c>
      <c r="F85" s="30">
        <v>0.4</v>
      </c>
      <c r="G85" s="26">
        <v>0</v>
      </c>
      <c r="H85" s="16">
        <v>7200</v>
      </c>
      <c r="I85" s="16">
        <v>1160</v>
      </c>
      <c r="J85" s="16">
        <v>6480</v>
      </c>
      <c r="K85" s="16">
        <v>1044</v>
      </c>
      <c r="L85" s="30">
        <v>3</v>
      </c>
      <c r="M85" s="30" t="s">
        <v>376</v>
      </c>
      <c r="N85" s="30" t="s">
        <v>376</v>
      </c>
      <c r="O85" s="33" t="s">
        <v>405</v>
      </c>
      <c r="P85" s="25">
        <v>56</v>
      </c>
      <c r="Q85" s="35">
        <v>560</v>
      </c>
      <c r="R85" s="25">
        <v>600</v>
      </c>
      <c r="S85" s="25"/>
      <c r="T85" s="25">
        <v>1</v>
      </c>
      <c r="U85" s="25">
        <v>3</v>
      </c>
      <c r="V85" s="25" t="s">
        <v>411</v>
      </c>
      <c r="W85" s="30">
        <v>6</v>
      </c>
      <c r="X85" s="25">
        <v>1001</v>
      </c>
      <c r="Y85" s="35" t="s">
        <v>509</v>
      </c>
      <c r="Z85" s="25" t="s">
        <v>510</v>
      </c>
      <c r="AA85" s="25" t="s">
        <v>511</v>
      </c>
      <c r="AB85" s="25" t="s">
        <v>512</v>
      </c>
      <c r="AC85" s="25" t="s">
        <v>187</v>
      </c>
      <c r="AD85" s="25" t="s">
        <v>85</v>
      </c>
      <c r="AE85" s="25" t="s">
        <v>284</v>
      </c>
      <c r="AF85" s="25" t="s">
        <v>87</v>
      </c>
      <c r="AG85" s="25" t="s">
        <v>88</v>
      </c>
      <c r="AH85" s="25" t="s">
        <v>89</v>
      </c>
      <c r="AI85" s="25">
        <v>0</v>
      </c>
      <c r="AJ85" s="25">
        <v>0</v>
      </c>
      <c r="AK85" s="25">
        <v>0.8</v>
      </c>
    </row>
    <row r="86" spans="2:37" s="2" customFormat="1" ht="16.5" x14ac:dyDescent="0.2">
      <c r="B86" s="24">
        <v>84001</v>
      </c>
      <c r="C86" s="25" t="s">
        <v>513</v>
      </c>
      <c r="D86" s="26">
        <v>11</v>
      </c>
      <c r="E86" s="30">
        <f t="shared" si="0"/>
        <v>7.9</v>
      </c>
      <c r="F86" s="30">
        <v>0.4</v>
      </c>
      <c r="G86" s="26">
        <v>0</v>
      </c>
      <c r="H86" s="16">
        <v>2500</v>
      </c>
      <c r="I86" s="16">
        <v>4000</v>
      </c>
      <c r="J86" s="16">
        <v>2250</v>
      </c>
      <c r="K86" s="16">
        <v>3600</v>
      </c>
      <c r="L86" s="30">
        <v>1</v>
      </c>
      <c r="M86" s="30" t="s">
        <v>376</v>
      </c>
      <c r="N86" s="30" t="s">
        <v>376</v>
      </c>
      <c r="O86" s="33" t="s">
        <v>449</v>
      </c>
      <c r="P86" s="25">
        <v>200</v>
      </c>
      <c r="Q86" s="35">
        <v>130</v>
      </c>
      <c r="R86" s="25">
        <v>300</v>
      </c>
      <c r="S86" s="25"/>
      <c r="T86" s="25">
        <v>0</v>
      </c>
      <c r="U86" s="25">
        <v>4</v>
      </c>
      <c r="V86" s="25" t="s">
        <v>279</v>
      </c>
      <c r="W86" s="30">
        <v>12</v>
      </c>
      <c r="X86" s="25">
        <v>0</v>
      </c>
      <c r="Y86" s="35" t="s">
        <v>514</v>
      </c>
      <c r="Z86" s="25" t="s">
        <v>515</v>
      </c>
      <c r="AA86" s="25" t="s">
        <v>516</v>
      </c>
      <c r="AB86" s="25" t="s">
        <v>517</v>
      </c>
      <c r="AC86" s="25" t="s">
        <v>103</v>
      </c>
      <c r="AD86" s="25" t="s">
        <v>85</v>
      </c>
      <c r="AE86" s="25" t="s">
        <v>321</v>
      </c>
      <c r="AF86" s="25" t="s">
        <v>87</v>
      </c>
      <c r="AG86" s="25" t="s">
        <v>88</v>
      </c>
      <c r="AH86" s="25" t="s">
        <v>89</v>
      </c>
      <c r="AI86" s="25">
        <v>0</v>
      </c>
      <c r="AJ86" s="25">
        <v>0</v>
      </c>
      <c r="AK86" s="25">
        <v>0.8</v>
      </c>
    </row>
    <row r="87" spans="2:37" s="2" customFormat="1" ht="16.5" x14ac:dyDescent="0.2">
      <c r="B87" s="24">
        <v>84002</v>
      </c>
      <c r="C87" s="25" t="s">
        <v>518</v>
      </c>
      <c r="D87" s="26">
        <v>11</v>
      </c>
      <c r="E87" s="30">
        <f t="shared" si="0"/>
        <v>5.8</v>
      </c>
      <c r="F87" s="30">
        <v>0.4</v>
      </c>
      <c r="G87" s="26">
        <v>0</v>
      </c>
      <c r="H87" s="16">
        <v>6800</v>
      </c>
      <c r="I87" s="16">
        <v>780</v>
      </c>
      <c r="J87" s="16">
        <v>6120</v>
      </c>
      <c r="K87" s="16">
        <v>702</v>
      </c>
      <c r="L87" s="30">
        <v>1</v>
      </c>
      <c r="M87" s="30" t="s">
        <v>376</v>
      </c>
      <c r="N87" s="30" t="s">
        <v>376</v>
      </c>
      <c r="O87" s="33" t="s">
        <v>405</v>
      </c>
      <c r="P87" s="25">
        <v>96</v>
      </c>
      <c r="Q87" s="35">
        <v>90</v>
      </c>
      <c r="R87" s="25">
        <v>300</v>
      </c>
      <c r="S87" s="25" t="s">
        <v>455</v>
      </c>
      <c r="T87" s="25">
        <v>0</v>
      </c>
      <c r="U87" s="25">
        <v>4</v>
      </c>
      <c r="V87" s="25"/>
      <c r="W87" s="30">
        <v>6</v>
      </c>
      <c r="X87" s="25">
        <v>0</v>
      </c>
      <c r="Y87" s="35" t="s">
        <v>519</v>
      </c>
      <c r="Z87" s="25" t="s">
        <v>520</v>
      </c>
      <c r="AA87" s="25" t="s">
        <v>521</v>
      </c>
      <c r="AB87" s="25" t="s">
        <v>522</v>
      </c>
      <c r="AC87" s="25" t="s">
        <v>84</v>
      </c>
      <c r="AD87" s="25" t="s">
        <v>85</v>
      </c>
      <c r="AE87" s="25" t="s">
        <v>86</v>
      </c>
      <c r="AF87" s="25" t="s">
        <v>87</v>
      </c>
      <c r="AG87" s="25" t="s">
        <v>88</v>
      </c>
      <c r="AH87" s="25" t="s">
        <v>89</v>
      </c>
      <c r="AI87" s="25">
        <v>0</v>
      </c>
      <c r="AJ87" s="25">
        <v>0</v>
      </c>
      <c r="AK87" s="25">
        <v>0.8</v>
      </c>
    </row>
    <row r="88" spans="2:37" s="2" customFormat="1" ht="16.5" x14ac:dyDescent="0.2">
      <c r="B88" s="24">
        <v>84011</v>
      </c>
      <c r="C88" s="25" t="s">
        <v>523</v>
      </c>
      <c r="D88" s="26">
        <v>11</v>
      </c>
      <c r="E88" s="30">
        <f t="shared" si="0"/>
        <v>18.399999999999999</v>
      </c>
      <c r="F88" s="30">
        <v>0.4</v>
      </c>
      <c r="G88" s="26">
        <v>0</v>
      </c>
      <c r="H88" s="16">
        <v>15000</v>
      </c>
      <c r="I88" s="16">
        <v>1200</v>
      </c>
      <c r="J88" s="16">
        <v>13500</v>
      </c>
      <c r="K88" s="16">
        <v>1080</v>
      </c>
      <c r="L88" s="30">
        <v>3</v>
      </c>
      <c r="M88" s="30" t="s">
        <v>376</v>
      </c>
      <c r="N88" s="30" t="s">
        <v>376</v>
      </c>
      <c r="O88" s="33" t="s">
        <v>405</v>
      </c>
      <c r="P88" s="25">
        <v>47</v>
      </c>
      <c r="Q88" s="35">
        <v>560</v>
      </c>
      <c r="R88" s="25">
        <v>600</v>
      </c>
      <c r="S88" s="25"/>
      <c r="T88" s="25">
        <v>1</v>
      </c>
      <c r="U88" s="25">
        <v>4</v>
      </c>
      <c r="V88" s="25" t="s">
        <v>279</v>
      </c>
      <c r="W88" s="30">
        <v>5</v>
      </c>
      <c r="X88" s="25">
        <v>1001</v>
      </c>
      <c r="Y88" s="35" t="s">
        <v>524</v>
      </c>
      <c r="Z88" s="25" t="s">
        <v>525</v>
      </c>
      <c r="AA88" s="25" t="s">
        <v>526</v>
      </c>
      <c r="AB88" s="25" t="s">
        <v>527</v>
      </c>
      <c r="AC88" s="25" t="s">
        <v>103</v>
      </c>
      <c r="AD88" s="25" t="s">
        <v>85</v>
      </c>
      <c r="AE88" s="25" t="s">
        <v>338</v>
      </c>
      <c r="AF88" s="25" t="s">
        <v>87</v>
      </c>
      <c r="AG88" s="25" t="s">
        <v>88</v>
      </c>
      <c r="AH88" s="25" t="s">
        <v>114</v>
      </c>
      <c r="AI88" s="25">
        <v>0</v>
      </c>
      <c r="AJ88" s="25">
        <v>0</v>
      </c>
      <c r="AK88" s="25">
        <v>0.6</v>
      </c>
    </row>
    <row r="89" spans="2:37" ht="16.5" x14ac:dyDescent="0.2">
      <c r="B89" s="27">
        <v>21011</v>
      </c>
      <c r="C89" s="27" t="s">
        <v>528</v>
      </c>
      <c r="D89" s="28">
        <v>20</v>
      </c>
      <c r="E89" s="31">
        <f t="shared" ref="E89:E108" si="1">ROUND(SQRT(H89*I89*L89)/400,1)</f>
        <v>35.4</v>
      </c>
      <c r="F89" s="31">
        <v>0.4</v>
      </c>
      <c r="G89" s="28">
        <v>0</v>
      </c>
      <c r="H89" s="32">
        <v>50000</v>
      </c>
      <c r="I89" s="32">
        <v>1600</v>
      </c>
      <c r="J89" s="32">
        <v>45000</v>
      </c>
      <c r="K89" s="32">
        <v>1440</v>
      </c>
      <c r="L89" s="32">
        <v>2.5</v>
      </c>
      <c r="M89" s="32" t="s">
        <v>376</v>
      </c>
      <c r="N89" s="32" t="s">
        <v>376</v>
      </c>
      <c r="O89" s="34" t="s">
        <v>492</v>
      </c>
      <c r="P89" s="17">
        <v>71</v>
      </c>
      <c r="Q89" s="36">
        <v>150</v>
      </c>
      <c r="R89" s="17">
        <v>330</v>
      </c>
      <c r="S89" s="17"/>
      <c r="T89" s="17">
        <v>1</v>
      </c>
      <c r="U89" s="17">
        <v>1</v>
      </c>
      <c r="V89" s="17" t="s">
        <v>279</v>
      </c>
      <c r="W89" s="31">
        <v>6</v>
      </c>
      <c r="X89" s="17">
        <v>1001</v>
      </c>
      <c r="Y89" s="36" t="s">
        <v>529</v>
      </c>
      <c r="Z89" s="17" t="s">
        <v>530</v>
      </c>
      <c r="AA89" s="17" t="s">
        <v>531</v>
      </c>
      <c r="AB89" s="17" t="s">
        <v>532</v>
      </c>
      <c r="AC89" s="17" t="s">
        <v>103</v>
      </c>
      <c r="AD89" s="17" t="s">
        <v>85</v>
      </c>
      <c r="AE89" s="17" t="s">
        <v>104</v>
      </c>
      <c r="AF89" s="17" t="s">
        <v>87</v>
      </c>
      <c r="AG89" s="17" t="s">
        <v>88</v>
      </c>
      <c r="AH89" s="17" t="s">
        <v>533</v>
      </c>
      <c r="AI89" s="17">
        <v>0</v>
      </c>
      <c r="AJ89" s="17">
        <v>0</v>
      </c>
      <c r="AK89" s="17">
        <v>0.1</v>
      </c>
    </row>
    <row r="90" spans="2:37" ht="16.5" x14ac:dyDescent="0.2">
      <c r="B90" s="27">
        <v>21012</v>
      </c>
      <c r="C90" s="27" t="s">
        <v>534</v>
      </c>
      <c r="D90" s="28">
        <v>20</v>
      </c>
      <c r="E90" s="31">
        <f t="shared" si="1"/>
        <v>79</v>
      </c>
      <c r="F90" s="31">
        <v>0.4</v>
      </c>
      <c r="G90" s="28">
        <v>0</v>
      </c>
      <c r="H90" s="32">
        <v>175000</v>
      </c>
      <c r="I90" s="32">
        <v>3800</v>
      </c>
      <c r="J90" s="32">
        <v>157500</v>
      </c>
      <c r="K90" s="32">
        <v>3420</v>
      </c>
      <c r="L90" s="32">
        <v>1.5</v>
      </c>
      <c r="M90" s="32" t="s">
        <v>376</v>
      </c>
      <c r="N90" s="32" t="s">
        <v>376</v>
      </c>
      <c r="O90" s="34" t="s">
        <v>492</v>
      </c>
      <c r="P90" s="17">
        <v>135</v>
      </c>
      <c r="Q90" s="36">
        <v>130</v>
      </c>
      <c r="R90" s="17">
        <v>300</v>
      </c>
      <c r="S90" s="17"/>
      <c r="T90" s="17">
        <v>0</v>
      </c>
      <c r="U90" s="17">
        <v>1</v>
      </c>
      <c r="V90" s="17" t="s">
        <v>79</v>
      </c>
      <c r="W90" s="31">
        <v>6</v>
      </c>
      <c r="X90" s="17">
        <v>0</v>
      </c>
      <c r="Y90" s="36" t="s">
        <v>535</v>
      </c>
      <c r="Z90" s="17" t="s">
        <v>536</v>
      </c>
      <c r="AA90" s="17" t="s">
        <v>537</v>
      </c>
      <c r="AB90" s="17" t="s">
        <v>538</v>
      </c>
      <c r="AC90" s="17" t="s">
        <v>84</v>
      </c>
      <c r="AD90" s="17" t="s">
        <v>85</v>
      </c>
      <c r="AE90" s="17" t="s">
        <v>113</v>
      </c>
      <c r="AF90" s="17" t="s">
        <v>87</v>
      </c>
      <c r="AG90" s="17" t="s">
        <v>88</v>
      </c>
      <c r="AH90" s="17" t="s">
        <v>533</v>
      </c>
      <c r="AI90" s="17">
        <v>0</v>
      </c>
      <c r="AJ90" s="17">
        <v>0</v>
      </c>
      <c r="AK90" s="17">
        <v>0.1</v>
      </c>
    </row>
    <row r="91" spans="2:37" ht="16.5" x14ac:dyDescent="0.2">
      <c r="B91" s="29">
        <v>21021</v>
      </c>
      <c r="C91" s="29" t="s">
        <v>539</v>
      </c>
      <c r="D91" s="28">
        <v>20</v>
      </c>
      <c r="E91" s="31">
        <f t="shared" si="1"/>
        <v>37.9</v>
      </c>
      <c r="F91" s="31">
        <v>0.4</v>
      </c>
      <c r="G91" s="28">
        <v>0</v>
      </c>
      <c r="H91" s="32">
        <v>72000</v>
      </c>
      <c r="I91" s="32">
        <v>1600</v>
      </c>
      <c r="J91" s="32">
        <v>64800</v>
      </c>
      <c r="K91" s="32">
        <v>1440</v>
      </c>
      <c r="L91" s="32">
        <v>2</v>
      </c>
      <c r="M91" s="32" t="s">
        <v>376</v>
      </c>
      <c r="N91" s="32" t="s">
        <v>376</v>
      </c>
      <c r="O91" s="34" t="s">
        <v>492</v>
      </c>
      <c r="P91" s="17">
        <v>70</v>
      </c>
      <c r="Q91" s="36">
        <v>250</v>
      </c>
      <c r="R91" s="17">
        <v>675</v>
      </c>
      <c r="S91" s="17"/>
      <c r="T91" s="17">
        <v>1</v>
      </c>
      <c r="U91" s="17">
        <v>3</v>
      </c>
      <c r="V91" s="17" t="s">
        <v>279</v>
      </c>
      <c r="W91" s="31">
        <v>6</v>
      </c>
      <c r="X91" s="17">
        <v>1002</v>
      </c>
      <c r="Y91" s="36" t="s">
        <v>540</v>
      </c>
      <c r="Z91" s="17" t="s">
        <v>541</v>
      </c>
      <c r="AA91" s="17" t="s">
        <v>542</v>
      </c>
      <c r="AB91" s="17" t="s">
        <v>543</v>
      </c>
      <c r="AC91" s="17" t="s">
        <v>103</v>
      </c>
      <c r="AD91" s="17" t="s">
        <v>393</v>
      </c>
      <c r="AE91" s="17" t="s">
        <v>123</v>
      </c>
      <c r="AF91" s="17" t="s">
        <v>124</v>
      </c>
      <c r="AG91" s="17" t="s">
        <v>88</v>
      </c>
      <c r="AH91" s="17" t="s">
        <v>533</v>
      </c>
      <c r="AI91" s="17">
        <v>0</v>
      </c>
      <c r="AJ91" s="17">
        <v>0</v>
      </c>
      <c r="AK91" s="17">
        <v>0.1</v>
      </c>
    </row>
    <row r="92" spans="2:37" ht="16.5" x14ac:dyDescent="0.2">
      <c r="B92" s="29">
        <v>21022</v>
      </c>
      <c r="C92" s="29" t="s">
        <v>544</v>
      </c>
      <c r="D92" s="28">
        <v>20</v>
      </c>
      <c r="E92" s="31">
        <f t="shared" si="1"/>
        <v>42.4</v>
      </c>
      <c r="F92" s="31">
        <v>0.4</v>
      </c>
      <c r="G92" s="28">
        <v>0</v>
      </c>
      <c r="H92" s="32">
        <v>120000</v>
      </c>
      <c r="I92" s="32">
        <v>1200</v>
      </c>
      <c r="J92" s="32">
        <v>108000</v>
      </c>
      <c r="K92" s="32">
        <v>1080</v>
      </c>
      <c r="L92" s="32">
        <v>2</v>
      </c>
      <c r="M92" s="32" t="s">
        <v>376</v>
      </c>
      <c r="N92" s="32" t="s">
        <v>376</v>
      </c>
      <c r="O92" s="34" t="s">
        <v>492</v>
      </c>
      <c r="P92" s="17">
        <v>75</v>
      </c>
      <c r="Q92" s="36">
        <v>130</v>
      </c>
      <c r="R92" s="17">
        <v>300</v>
      </c>
      <c r="S92" s="17"/>
      <c r="T92" s="17">
        <v>0</v>
      </c>
      <c r="U92" s="17">
        <v>2</v>
      </c>
      <c r="V92" s="17"/>
      <c r="W92" s="31">
        <v>6</v>
      </c>
      <c r="X92" s="17">
        <v>0</v>
      </c>
      <c r="Y92" s="36" t="s">
        <v>545</v>
      </c>
      <c r="Z92" s="17" t="s">
        <v>546</v>
      </c>
      <c r="AA92" s="17" t="s">
        <v>547</v>
      </c>
      <c r="AB92" s="17" t="s">
        <v>548</v>
      </c>
      <c r="AC92" s="17" t="s">
        <v>103</v>
      </c>
      <c r="AD92" s="17" t="s">
        <v>393</v>
      </c>
      <c r="AE92" s="17" t="s">
        <v>133</v>
      </c>
      <c r="AF92" s="17" t="s">
        <v>87</v>
      </c>
      <c r="AG92" s="17" t="s">
        <v>88</v>
      </c>
      <c r="AH92" s="17" t="s">
        <v>533</v>
      </c>
      <c r="AI92" s="17">
        <v>0</v>
      </c>
      <c r="AJ92" s="17">
        <v>0</v>
      </c>
      <c r="AK92" s="17">
        <v>0.1</v>
      </c>
    </row>
    <row r="93" spans="2:37" ht="16.5" x14ac:dyDescent="0.2">
      <c r="B93" s="29">
        <v>21023</v>
      </c>
      <c r="C93" s="29" t="s">
        <v>549</v>
      </c>
      <c r="D93" s="28">
        <v>20</v>
      </c>
      <c r="E93" s="31">
        <f t="shared" si="1"/>
        <v>51.2</v>
      </c>
      <c r="F93" s="31">
        <v>0.4</v>
      </c>
      <c r="G93" s="28">
        <v>0</v>
      </c>
      <c r="H93" s="32">
        <v>150000</v>
      </c>
      <c r="I93" s="32">
        <v>1400</v>
      </c>
      <c r="J93" s="32">
        <v>135000</v>
      </c>
      <c r="K93" s="32">
        <v>1260</v>
      </c>
      <c r="L93" s="32">
        <v>2</v>
      </c>
      <c r="M93" s="32" t="s">
        <v>376</v>
      </c>
      <c r="N93" s="32" t="s">
        <v>376</v>
      </c>
      <c r="O93" s="34" t="s">
        <v>492</v>
      </c>
      <c r="P93" s="17">
        <v>80</v>
      </c>
      <c r="Q93" s="36">
        <v>130</v>
      </c>
      <c r="R93" s="17">
        <v>300</v>
      </c>
      <c r="S93" s="17"/>
      <c r="T93" s="17">
        <v>0</v>
      </c>
      <c r="U93" s="17">
        <v>1</v>
      </c>
      <c r="V93" s="17" t="s">
        <v>118</v>
      </c>
      <c r="W93" s="31">
        <v>6</v>
      </c>
      <c r="X93" s="17">
        <v>0</v>
      </c>
      <c r="Y93" s="36" t="s">
        <v>550</v>
      </c>
      <c r="Z93" s="17" t="s">
        <v>551</v>
      </c>
      <c r="AA93" s="17" t="s">
        <v>552</v>
      </c>
      <c r="AB93" s="17" t="s">
        <v>553</v>
      </c>
      <c r="AC93" s="17" t="s">
        <v>103</v>
      </c>
      <c r="AD93" s="17" t="s">
        <v>85</v>
      </c>
      <c r="AE93" s="17" t="s">
        <v>141</v>
      </c>
      <c r="AF93" s="17" t="s">
        <v>87</v>
      </c>
      <c r="AG93" s="17" t="s">
        <v>88</v>
      </c>
      <c r="AH93" s="17" t="s">
        <v>533</v>
      </c>
      <c r="AI93" s="17">
        <v>0</v>
      </c>
      <c r="AJ93" s="17">
        <v>0</v>
      </c>
      <c r="AK93" s="17">
        <v>0.1</v>
      </c>
    </row>
    <row r="94" spans="2:37" ht="16.5" x14ac:dyDescent="0.2">
      <c r="B94" s="29">
        <v>21024</v>
      </c>
      <c r="C94" s="29" t="s">
        <v>554</v>
      </c>
      <c r="D94" s="28">
        <v>20</v>
      </c>
      <c r="E94" s="31">
        <f t="shared" si="1"/>
        <v>77.5</v>
      </c>
      <c r="F94" s="31">
        <v>0.4</v>
      </c>
      <c r="G94" s="28">
        <v>0</v>
      </c>
      <c r="H94" s="32">
        <v>160000</v>
      </c>
      <c r="I94" s="32">
        <v>2000</v>
      </c>
      <c r="J94" s="32">
        <v>144000</v>
      </c>
      <c r="K94" s="32">
        <v>1800</v>
      </c>
      <c r="L94" s="32">
        <v>3</v>
      </c>
      <c r="M94" s="32" t="s">
        <v>376</v>
      </c>
      <c r="N94" s="32" t="s">
        <v>376</v>
      </c>
      <c r="O94" s="34" t="s">
        <v>492</v>
      </c>
      <c r="P94" s="17">
        <v>75</v>
      </c>
      <c r="Q94" s="36">
        <v>130</v>
      </c>
      <c r="R94" s="17">
        <v>300</v>
      </c>
      <c r="S94" s="17"/>
      <c r="T94" s="17">
        <v>0</v>
      </c>
      <c r="U94" s="17">
        <v>1</v>
      </c>
      <c r="V94" s="17" t="s">
        <v>118</v>
      </c>
      <c r="W94" s="31">
        <v>6</v>
      </c>
      <c r="X94" s="17">
        <v>0</v>
      </c>
      <c r="Y94" s="36" t="s">
        <v>555</v>
      </c>
      <c r="Z94" s="17" t="s">
        <v>556</v>
      </c>
      <c r="AA94" s="17" t="s">
        <v>557</v>
      </c>
      <c r="AB94" s="17" t="s">
        <v>558</v>
      </c>
      <c r="AC94" s="17" t="s">
        <v>103</v>
      </c>
      <c r="AD94" s="17" t="s">
        <v>85</v>
      </c>
      <c r="AE94" s="17" t="s">
        <v>133</v>
      </c>
      <c r="AF94" s="17" t="s">
        <v>87</v>
      </c>
      <c r="AG94" s="17" t="s">
        <v>88</v>
      </c>
      <c r="AH94" s="17" t="s">
        <v>533</v>
      </c>
      <c r="AI94" s="17">
        <v>0</v>
      </c>
      <c r="AJ94" s="17">
        <v>0</v>
      </c>
      <c r="AK94" s="17">
        <v>0.1</v>
      </c>
    </row>
    <row r="95" spans="2:37" ht="16.5" x14ac:dyDescent="0.2">
      <c r="B95" s="29">
        <v>21025</v>
      </c>
      <c r="C95" s="29" t="s">
        <v>559</v>
      </c>
      <c r="D95" s="28">
        <v>20</v>
      </c>
      <c r="E95" s="31">
        <f t="shared" si="1"/>
        <v>54.8</v>
      </c>
      <c r="F95" s="31">
        <v>0.4</v>
      </c>
      <c r="G95" s="28">
        <v>0</v>
      </c>
      <c r="H95" s="32">
        <v>160000</v>
      </c>
      <c r="I95" s="32">
        <v>1500</v>
      </c>
      <c r="J95" s="32">
        <v>144000</v>
      </c>
      <c r="K95" s="32">
        <v>1350</v>
      </c>
      <c r="L95" s="32">
        <v>2</v>
      </c>
      <c r="M95" s="32" t="s">
        <v>376</v>
      </c>
      <c r="N95" s="32" t="s">
        <v>376</v>
      </c>
      <c r="O95" s="34" t="s">
        <v>492</v>
      </c>
      <c r="P95" s="17">
        <v>85</v>
      </c>
      <c r="Q95" s="36">
        <v>130</v>
      </c>
      <c r="R95" s="17">
        <v>300</v>
      </c>
      <c r="S95" s="17"/>
      <c r="T95" s="17">
        <v>0</v>
      </c>
      <c r="U95" s="17">
        <v>1</v>
      </c>
      <c r="V95" s="17" t="s">
        <v>118</v>
      </c>
      <c r="W95" s="31">
        <v>6</v>
      </c>
      <c r="X95" s="17">
        <v>0</v>
      </c>
      <c r="Y95" s="36" t="s">
        <v>560</v>
      </c>
      <c r="Z95" s="17" t="s">
        <v>561</v>
      </c>
      <c r="AA95" s="17" t="s">
        <v>562</v>
      </c>
      <c r="AB95" s="17" t="s">
        <v>563</v>
      </c>
      <c r="AC95" s="17" t="s">
        <v>103</v>
      </c>
      <c r="AD95" s="17" t="s">
        <v>85</v>
      </c>
      <c r="AE95" s="17" t="s">
        <v>133</v>
      </c>
      <c r="AF95" s="17" t="s">
        <v>87</v>
      </c>
      <c r="AG95" s="17" t="s">
        <v>88</v>
      </c>
      <c r="AH95" s="17" t="s">
        <v>533</v>
      </c>
      <c r="AI95" s="17">
        <v>0</v>
      </c>
      <c r="AJ95" s="17">
        <v>0</v>
      </c>
      <c r="AK95" s="17">
        <v>0.1</v>
      </c>
    </row>
    <row r="96" spans="2:37" ht="16.5" x14ac:dyDescent="0.2">
      <c r="B96" s="29">
        <v>21026</v>
      </c>
      <c r="C96" s="29" t="s">
        <v>564</v>
      </c>
      <c r="D96" s="28">
        <v>20</v>
      </c>
      <c r="E96" s="31">
        <f t="shared" si="1"/>
        <v>52.7</v>
      </c>
      <c r="F96" s="31">
        <v>0.4</v>
      </c>
      <c r="G96" s="28">
        <v>0</v>
      </c>
      <c r="H96" s="32">
        <v>139000</v>
      </c>
      <c r="I96" s="32">
        <v>1600</v>
      </c>
      <c r="J96" s="32">
        <v>125100</v>
      </c>
      <c r="K96" s="32">
        <v>1440</v>
      </c>
      <c r="L96" s="32">
        <v>2</v>
      </c>
      <c r="M96" s="32" t="s">
        <v>376</v>
      </c>
      <c r="N96" s="32" t="s">
        <v>376</v>
      </c>
      <c r="O96" s="34" t="s">
        <v>492</v>
      </c>
      <c r="P96" s="17">
        <v>75</v>
      </c>
      <c r="Q96" s="36">
        <v>130</v>
      </c>
      <c r="R96" s="17">
        <v>300</v>
      </c>
      <c r="S96" s="17"/>
      <c r="T96" s="17">
        <v>0</v>
      </c>
      <c r="U96" s="17">
        <v>1</v>
      </c>
      <c r="V96" s="17" t="s">
        <v>118</v>
      </c>
      <c r="W96" s="31">
        <v>6</v>
      </c>
      <c r="X96" s="17">
        <v>0</v>
      </c>
      <c r="Y96" s="36" t="s">
        <v>565</v>
      </c>
      <c r="Z96" s="17" t="s">
        <v>566</v>
      </c>
      <c r="AA96" s="17" t="s">
        <v>567</v>
      </c>
      <c r="AB96" s="17" t="s">
        <v>568</v>
      </c>
      <c r="AC96" s="17" t="s">
        <v>103</v>
      </c>
      <c r="AD96" s="17" t="s">
        <v>85</v>
      </c>
      <c r="AE96" s="17" t="s">
        <v>164</v>
      </c>
      <c r="AF96" s="17" t="s">
        <v>87</v>
      </c>
      <c r="AG96" s="17" t="s">
        <v>88</v>
      </c>
      <c r="AH96" s="17" t="s">
        <v>533</v>
      </c>
      <c r="AI96" s="17">
        <v>0</v>
      </c>
      <c r="AJ96" s="17">
        <v>0</v>
      </c>
      <c r="AK96" s="17">
        <v>0.1</v>
      </c>
    </row>
    <row r="97" spans="2:37" ht="16.5" x14ac:dyDescent="0.2">
      <c r="B97" s="29">
        <v>21027</v>
      </c>
      <c r="C97" s="29" t="s">
        <v>569</v>
      </c>
      <c r="D97" s="28">
        <v>20</v>
      </c>
      <c r="E97" s="31">
        <f t="shared" si="1"/>
        <v>41.2</v>
      </c>
      <c r="F97" s="31">
        <v>0.4</v>
      </c>
      <c r="G97" s="28">
        <v>0</v>
      </c>
      <c r="H97" s="32">
        <v>136000</v>
      </c>
      <c r="I97" s="32">
        <v>1000</v>
      </c>
      <c r="J97" s="32">
        <v>122400</v>
      </c>
      <c r="K97" s="32">
        <v>900</v>
      </c>
      <c r="L97" s="32">
        <v>2</v>
      </c>
      <c r="M97" s="32" t="s">
        <v>376</v>
      </c>
      <c r="N97" s="32" t="s">
        <v>376</v>
      </c>
      <c r="O97" s="34" t="s">
        <v>492</v>
      </c>
      <c r="P97" s="17">
        <v>75</v>
      </c>
      <c r="Q97" s="36">
        <v>130</v>
      </c>
      <c r="R97" s="17">
        <v>300</v>
      </c>
      <c r="S97" s="17"/>
      <c r="T97" s="17">
        <v>0</v>
      </c>
      <c r="U97" s="17">
        <v>1</v>
      </c>
      <c r="V97" s="17" t="s">
        <v>118</v>
      </c>
      <c r="W97" s="31">
        <v>6</v>
      </c>
      <c r="X97" s="17">
        <v>0</v>
      </c>
      <c r="Y97" s="36" t="s">
        <v>570</v>
      </c>
      <c r="Z97" s="17" t="s">
        <v>571</v>
      </c>
      <c r="AA97" s="17" t="s">
        <v>572</v>
      </c>
      <c r="AB97" s="17" t="s">
        <v>573</v>
      </c>
      <c r="AC97" s="17" t="s">
        <v>103</v>
      </c>
      <c r="AD97" s="17" t="s">
        <v>85</v>
      </c>
      <c r="AE97" s="17" t="s">
        <v>172</v>
      </c>
      <c r="AF97" s="17" t="s">
        <v>87</v>
      </c>
      <c r="AG97" s="17" t="s">
        <v>88</v>
      </c>
      <c r="AH97" s="17" t="s">
        <v>533</v>
      </c>
      <c r="AI97" s="17">
        <v>0</v>
      </c>
      <c r="AJ97" s="17">
        <v>0</v>
      </c>
      <c r="AK97" s="17">
        <v>0.1</v>
      </c>
    </row>
    <row r="98" spans="2:37" ht="16.5" x14ac:dyDescent="0.2">
      <c r="B98" s="29">
        <v>21028</v>
      </c>
      <c r="C98" s="29" t="s">
        <v>574</v>
      </c>
      <c r="D98" s="28">
        <v>20</v>
      </c>
      <c r="E98" s="31">
        <f t="shared" si="1"/>
        <v>51.2</v>
      </c>
      <c r="F98" s="31">
        <v>0.4</v>
      </c>
      <c r="G98" s="28">
        <v>0</v>
      </c>
      <c r="H98" s="32">
        <v>150000</v>
      </c>
      <c r="I98" s="32">
        <v>1400</v>
      </c>
      <c r="J98" s="32">
        <v>135000</v>
      </c>
      <c r="K98" s="32">
        <v>1260</v>
      </c>
      <c r="L98" s="32">
        <v>2</v>
      </c>
      <c r="M98" s="32" t="s">
        <v>376</v>
      </c>
      <c r="N98" s="32" t="s">
        <v>376</v>
      </c>
      <c r="O98" s="34" t="s">
        <v>492</v>
      </c>
      <c r="P98" s="17">
        <v>75</v>
      </c>
      <c r="Q98" s="36">
        <v>130</v>
      </c>
      <c r="R98" s="17">
        <v>300</v>
      </c>
      <c r="S98" s="17"/>
      <c r="T98" s="17">
        <v>0</v>
      </c>
      <c r="U98" s="17">
        <v>1</v>
      </c>
      <c r="V98" s="17" t="s">
        <v>118</v>
      </c>
      <c r="W98" s="31">
        <v>6</v>
      </c>
      <c r="X98" s="17">
        <v>0</v>
      </c>
      <c r="Y98" s="36" t="s">
        <v>575</v>
      </c>
      <c r="Z98" s="17" t="s">
        <v>576</v>
      </c>
      <c r="AA98" s="17" t="s">
        <v>577</v>
      </c>
      <c r="AB98" s="17" t="s">
        <v>578</v>
      </c>
      <c r="AC98" s="17" t="s">
        <v>103</v>
      </c>
      <c r="AD98" s="17" t="s">
        <v>85</v>
      </c>
      <c r="AE98" s="17" t="s">
        <v>133</v>
      </c>
      <c r="AF98" s="17" t="s">
        <v>87</v>
      </c>
      <c r="AG98" s="17" t="s">
        <v>88</v>
      </c>
      <c r="AH98" s="17" t="s">
        <v>533</v>
      </c>
      <c r="AI98" s="17">
        <v>0</v>
      </c>
      <c r="AJ98" s="17">
        <v>0</v>
      </c>
      <c r="AK98" s="17">
        <v>0.1</v>
      </c>
    </row>
    <row r="99" spans="2:37" ht="16.5" x14ac:dyDescent="0.2">
      <c r="B99" s="27">
        <v>22011</v>
      </c>
      <c r="C99" s="27" t="s">
        <v>579</v>
      </c>
      <c r="D99" s="28">
        <v>20</v>
      </c>
      <c r="E99" s="31">
        <f t="shared" si="1"/>
        <v>20.2</v>
      </c>
      <c r="F99" s="31">
        <v>0.4</v>
      </c>
      <c r="G99" s="28">
        <v>0</v>
      </c>
      <c r="H99" s="32">
        <v>39000</v>
      </c>
      <c r="I99" s="32">
        <v>800</v>
      </c>
      <c r="J99" s="32">
        <v>35100</v>
      </c>
      <c r="K99" s="32">
        <v>720</v>
      </c>
      <c r="L99" s="32">
        <v>2.1</v>
      </c>
      <c r="M99" s="32" t="s">
        <v>376</v>
      </c>
      <c r="N99" s="32" t="s">
        <v>376</v>
      </c>
      <c r="O99" s="34" t="s">
        <v>492</v>
      </c>
      <c r="P99" s="17">
        <v>64</v>
      </c>
      <c r="Q99" s="36">
        <v>250</v>
      </c>
      <c r="R99" s="17">
        <v>525</v>
      </c>
      <c r="S99" s="17"/>
      <c r="T99" s="17">
        <v>1</v>
      </c>
      <c r="U99" s="17">
        <v>2</v>
      </c>
      <c r="V99" s="17"/>
      <c r="W99" s="31">
        <v>12</v>
      </c>
      <c r="X99" s="17">
        <v>1001</v>
      </c>
      <c r="Y99" s="36" t="s">
        <v>580</v>
      </c>
      <c r="Z99" s="17" t="s">
        <v>581</v>
      </c>
      <c r="AA99" s="17" t="s">
        <v>582</v>
      </c>
      <c r="AB99" s="17" t="s">
        <v>583</v>
      </c>
      <c r="AC99" s="17" t="s">
        <v>103</v>
      </c>
      <c r="AD99" s="17" t="s">
        <v>85</v>
      </c>
      <c r="AE99" s="17" t="s">
        <v>87</v>
      </c>
      <c r="AF99" s="17" t="s">
        <v>87</v>
      </c>
      <c r="AG99" s="17" t="s">
        <v>88</v>
      </c>
      <c r="AH99" s="17" t="s">
        <v>533</v>
      </c>
      <c r="AI99" s="17">
        <v>0</v>
      </c>
      <c r="AJ99" s="17">
        <v>0</v>
      </c>
      <c r="AK99" s="17">
        <v>0.1</v>
      </c>
    </row>
    <row r="100" spans="2:37" ht="16.5" x14ac:dyDescent="0.2">
      <c r="B100" s="27">
        <v>22012</v>
      </c>
      <c r="C100" s="27" t="s">
        <v>584</v>
      </c>
      <c r="D100" s="28">
        <v>20</v>
      </c>
      <c r="E100" s="31">
        <f t="shared" si="1"/>
        <v>120.9</v>
      </c>
      <c r="F100" s="31">
        <v>0.4</v>
      </c>
      <c r="G100" s="28">
        <v>0</v>
      </c>
      <c r="H100" s="32">
        <v>195000</v>
      </c>
      <c r="I100" s="32">
        <v>2400</v>
      </c>
      <c r="J100" s="32">
        <v>175500</v>
      </c>
      <c r="K100" s="32">
        <v>2160</v>
      </c>
      <c r="L100" s="32">
        <v>5</v>
      </c>
      <c r="M100" s="32" t="s">
        <v>376</v>
      </c>
      <c r="N100" s="32" t="s">
        <v>376</v>
      </c>
      <c r="O100" s="34" t="s">
        <v>492</v>
      </c>
      <c r="P100" s="17">
        <v>48</v>
      </c>
      <c r="Q100" s="36">
        <v>130</v>
      </c>
      <c r="R100" s="17">
        <v>300</v>
      </c>
      <c r="S100" s="17" t="s">
        <v>198</v>
      </c>
      <c r="T100" s="17">
        <v>0</v>
      </c>
      <c r="U100" s="17">
        <v>2</v>
      </c>
      <c r="V100" s="17" t="s">
        <v>79</v>
      </c>
      <c r="W100" s="31">
        <v>5</v>
      </c>
      <c r="X100" s="17">
        <v>0</v>
      </c>
      <c r="Y100" s="36" t="s">
        <v>585</v>
      </c>
      <c r="Z100" s="17" t="s">
        <v>586</v>
      </c>
      <c r="AA100" s="17" t="s">
        <v>587</v>
      </c>
      <c r="AB100" s="17" t="s">
        <v>588</v>
      </c>
      <c r="AC100" s="17" t="s">
        <v>103</v>
      </c>
      <c r="AD100" s="17" t="s">
        <v>85</v>
      </c>
      <c r="AE100" s="17" t="s">
        <v>203</v>
      </c>
      <c r="AF100" s="17" t="s">
        <v>87</v>
      </c>
      <c r="AG100" s="17" t="s">
        <v>88</v>
      </c>
      <c r="AH100" s="17" t="s">
        <v>533</v>
      </c>
      <c r="AI100" s="17">
        <v>0</v>
      </c>
      <c r="AJ100" s="17">
        <v>0</v>
      </c>
      <c r="AK100" s="17">
        <v>0.01</v>
      </c>
    </row>
    <row r="101" spans="2:37" ht="16.5" x14ac:dyDescent="0.2">
      <c r="B101" s="29">
        <v>22021</v>
      </c>
      <c r="C101" s="29" t="s">
        <v>589</v>
      </c>
      <c r="D101" s="28">
        <v>20</v>
      </c>
      <c r="E101" s="31">
        <f t="shared" si="1"/>
        <v>38.299999999999997</v>
      </c>
      <c r="F101" s="31">
        <v>0.4</v>
      </c>
      <c r="G101" s="28">
        <v>0</v>
      </c>
      <c r="H101" s="32">
        <v>84000</v>
      </c>
      <c r="I101" s="32">
        <v>1400</v>
      </c>
      <c r="J101" s="32">
        <v>75600</v>
      </c>
      <c r="K101" s="32">
        <v>1260</v>
      </c>
      <c r="L101" s="32">
        <v>2</v>
      </c>
      <c r="M101" s="32" t="s">
        <v>376</v>
      </c>
      <c r="N101" s="32" t="s">
        <v>376</v>
      </c>
      <c r="O101" s="34" t="s">
        <v>492</v>
      </c>
      <c r="P101" s="17">
        <v>70</v>
      </c>
      <c r="Q101" s="36">
        <v>200</v>
      </c>
      <c r="R101" s="17">
        <v>375</v>
      </c>
      <c r="S101" s="17"/>
      <c r="T101" s="17">
        <v>1</v>
      </c>
      <c r="U101" s="17">
        <v>2</v>
      </c>
      <c r="V101" s="17" t="s">
        <v>279</v>
      </c>
      <c r="W101" s="31">
        <v>6</v>
      </c>
      <c r="X101" s="17">
        <v>1002</v>
      </c>
      <c r="Y101" s="36" t="s">
        <v>590</v>
      </c>
      <c r="Z101" s="17" t="s">
        <v>591</v>
      </c>
      <c r="AA101" s="17" t="s">
        <v>592</v>
      </c>
      <c r="AB101" s="17" t="s">
        <v>593</v>
      </c>
      <c r="AC101" s="17" t="s">
        <v>103</v>
      </c>
      <c r="AD101" s="17" t="s">
        <v>393</v>
      </c>
      <c r="AE101" s="17" t="s">
        <v>211</v>
      </c>
      <c r="AF101" s="17" t="s">
        <v>87</v>
      </c>
      <c r="AG101" s="17" t="s">
        <v>88</v>
      </c>
      <c r="AH101" s="17" t="s">
        <v>533</v>
      </c>
      <c r="AI101" s="17">
        <v>0</v>
      </c>
      <c r="AJ101" s="17">
        <v>0</v>
      </c>
      <c r="AK101" s="17">
        <v>0.1</v>
      </c>
    </row>
    <row r="102" spans="2:37" ht="16.5" x14ac:dyDescent="0.2">
      <c r="B102" s="29">
        <v>22022</v>
      </c>
      <c r="C102" s="29" t="s">
        <v>594</v>
      </c>
      <c r="D102" s="28">
        <v>20</v>
      </c>
      <c r="E102" s="31">
        <f t="shared" si="1"/>
        <v>45</v>
      </c>
      <c r="F102" s="31">
        <v>0.4</v>
      </c>
      <c r="G102" s="28">
        <v>0</v>
      </c>
      <c r="H102" s="32">
        <v>90000</v>
      </c>
      <c r="I102" s="32">
        <v>1800</v>
      </c>
      <c r="J102" s="32">
        <v>81000</v>
      </c>
      <c r="K102" s="32">
        <v>1620</v>
      </c>
      <c r="L102" s="32">
        <v>2</v>
      </c>
      <c r="M102" s="32" t="s">
        <v>376</v>
      </c>
      <c r="N102" s="32" t="s">
        <v>376</v>
      </c>
      <c r="O102" s="34" t="s">
        <v>492</v>
      </c>
      <c r="P102" s="17">
        <v>70</v>
      </c>
      <c r="Q102" s="36">
        <v>200</v>
      </c>
      <c r="R102" s="17">
        <v>375</v>
      </c>
      <c r="S102" s="17"/>
      <c r="T102" s="17">
        <v>0</v>
      </c>
      <c r="U102" s="17">
        <v>2</v>
      </c>
      <c r="V102" s="17" t="s">
        <v>118</v>
      </c>
      <c r="W102" s="31">
        <v>6</v>
      </c>
      <c r="X102" s="17">
        <v>1002</v>
      </c>
      <c r="Y102" s="36" t="s">
        <v>595</v>
      </c>
      <c r="Z102" s="17" t="s">
        <v>596</v>
      </c>
      <c r="AA102" s="17" t="s">
        <v>597</v>
      </c>
      <c r="AB102" s="17" t="s">
        <v>598</v>
      </c>
      <c r="AC102" s="17" t="s">
        <v>103</v>
      </c>
      <c r="AD102" s="17" t="s">
        <v>85</v>
      </c>
      <c r="AE102" s="17" t="s">
        <v>219</v>
      </c>
      <c r="AF102" s="17" t="s">
        <v>87</v>
      </c>
      <c r="AG102" s="17" t="s">
        <v>88</v>
      </c>
      <c r="AH102" s="17" t="s">
        <v>533</v>
      </c>
      <c r="AI102" s="17">
        <v>0</v>
      </c>
      <c r="AJ102" s="17">
        <v>0</v>
      </c>
      <c r="AK102" s="17">
        <v>0.1</v>
      </c>
    </row>
    <row r="103" spans="2:37" ht="16.5" x14ac:dyDescent="0.2">
      <c r="B103" s="29">
        <v>22023</v>
      </c>
      <c r="C103" s="29" t="s">
        <v>599</v>
      </c>
      <c r="D103" s="28">
        <v>20</v>
      </c>
      <c r="E103" s="31">
        <f t="shared" si="1"/>
        <v>37.4</v>
      </c>
      <c r="F103" s="31">
        <v>0.4</v>
      </c>
      <c r="G103" s="28">
        <v>0</v>
      </c>
      <c r="H103" s="32">
        <v>70000</v>
      </c>
      <c r="I103" s="32">
        <v>1600</v>
      </c>
      <c r="J103" s="32">
        <v>63000</v>
      </c>
      <c r="K103" s="32">
        <v>1440</v>
      </c>
      <c r="L103" s="32">
        <v>2</v>
      </c>
      <c r="M103" s="32" t="s">
        <v>376</v>
      </c>
      <c r="N103" s="32" t="s">
        <v>376</v>
      </c>
      <c r="O103" s="34" t="s">
        <v>492</v>
      </c>
      <c r="P103" s="17">
        <v>85</v>
      </c>
      <c r="Q103" s="36">
        <v>300</v>
      </c>
      <c r="R103" s="36">
        <v>700</v>
      </c>
      <c r="S103" s="17"/>
      <c r="T103" s="17">
        <v>1</v>
      </c>
      <c r="U103" s="17">
        <v>2</v>
      </c>
      <c r="V103" s="17" t="s">
        <v>279</v>
      </c>
      <c r="W103" s="31">
        <v>6</v>
      </c>
      <c r="X103" s="17">
        <v>1002</v>
      </c>
      <c r="Y103" s="36" t="s">
        <v>600</v>
      </c>
      <c r="Z103" s="17" t="s">
        <v>601</v>
      </c>
      <c r="AA103" s="17" t="s">
        <v>602</v>
      </c>
      <c r="AB103" s="17" t="s">
        <v>603</v>
      </c>
      <c r="AC103" s="17" t="s">
        <v>103</v>
      </c>
      <c r="AD103" s="17" t="s">
        <v>393</v>
      </c>
      <c r="AE103" s="17" t="s">
        <v>87</v>
      </c>
      <c r="AF103" s="17" t="s">
        <v>87</v>
      </c>
      <c r="AG103" s="17" t="s">
        <v>88</v>
      </c>
      <c r="AH103" s="17" t="s">
        <v>533</v>
      </c>
      <c r="AI103" s="17">
        <v>0</v>
      </c>
      <c r="AJ103" s="17">
        <v>0</v>
      </c>
      <c r="AK103" s="17">
        <v>0.1</v>
      </c>
    </row>
    <row r="104" spans="2:37" ht="16.5" x14ac:dyDescent="0.2">
      <c r="B104" s="29">
        <v>22024</v>
      </c>
      <c r="C104" s="29" t="s">
        <v>604</v>
      </c>
      <c r="D104" s="28">
        <v>20</v>
      </c>
      <c r="E104" s="31">
        <f t="shared" si="1"/>
        <v>32.4</v>
      </c>
      <c r="F104" s="31">
        <v>0.4</v>
      </c>
      <c r="G104" s="28">
        <v>0</v>
      </c>
      <c r="H104" s="32">
        <v>70000</v>
      </c>
      <c r="I104" s="32">
        <v>1200</v>
      </c>
      <c r="J104" s="32">
        <v>63000</v>
      </c>
      <c r="K104" s="32">
        <v>1080</v>
      </c>
      <c r="L104" s="32">
        <v>2</v>
      </c>
      <c r="M104" s="32" t="s">
        <v>376</v>
      </c>
      <c r="N104" s="31" t="s">
        <v>376</v>
      </c>
      <c r="O104" s="34" t="s">
        <v>492</v>
      </c>
      <c r="P104" s="17">
        <v>75</v>
      </c>
      <c r="Q104" s="36">
        <v>250</v>
      </c>
      <c r="R104" s="36">
        <v>700</v>
      </c>
      <c r="S104" s="17"/>
      <c r="T104" s="17">
        <v>1</v>
      </c>
      <c r="U104" s="17">
        <v>2</v>
      </c>
      <c r="V104" s="17" t="s">
        <v>279</v>
      </c>
      <c r="W104" s="31">
        <v>6</v>
      </c>
      <c r="X104" s="17">
        <v>1002</v>
      </c>
      <c r="Y104" s="36" t="s">
        <v>605</v>
      </c>
      <c r="Z104" s="17" t="s">
        <v>606</v>
      </c>
      <c r="AA104" s="17" t="s">
        <v>607</v>
      </c>
      <c r="AB104" s="17" t="s">
        <v>608</v>
      </c>
      <c r="AC104" s="17" t="s">
        <v>103</v>
      </c>
      <c r="AD104" s="17" t="s">
        <v>393</v>
      </c>
      <c r="AE104" s="17" t="s">
        <v>211</v>
      </c>
      <c r="AF104" s="17" t="s">
        <v>87</v>
      </c>
      <c r="AG104" s="17" t="s">
        <v>88</v>
      </c>
      <c r="AH104" s="17" t="s">
        <v>533</v>
      </c>
      <c r="AI104" s="17">
        <v>0</v>
      </c>
      <c r="AJ104" s="17">
        <v>0</v>
      </c>
      <c r="AK104" s="17">
        <v>0.1</v>
      </c>
    </row>
    <row r="105" spans="2:37" ht="16.5" x14ac:dyDescent="0.2">
      <c r="B105" s="29">
        <v>22025</v>
      </c>
      <c r="C105" s="29" t="s">
        <v>609</v>
      </c>
      <c r="D105" s="28">
        <v>20</v>
      </c>
      <c r="E105" s="31">
        <f t="shared" si="1"/>
        <v>58.1</v>
      </c>
      <c r="F105" s="31">
        <v>0.4</v>
      </c>
      <c r="G105" s="28">
        <v>0</v>
      </c>
      <c r="H105" s="32">
        <v>150000</v>
      </c>
      <c r="I105" s="32">
        <v>1800</v>
      </c>
      <c r="J105" s="32">
        <v>135000</v>
      </c>
      <c r="K105" s="32">
        <v>1620</v>
      </c>
      <c r="L105" s="32">
        <v>2</v>
      </c>
      <c r="M105" s="32" t="s">
        <v>376</v>
      </c>
      <c r="N105" s="31" t="s">
        <v>376</v>
      </c>
      <c r="O105" s="34" t="s">
        <v>492</v>
      </c>
      <c r="P105" s="17">
        <v>70</v>
      </c>
      <c r="Q105" s="36">
        <v>130</v>
      </c>
      <c r="R105" s="17">
        <v>375</v>
      </c>
      <c r="S105" s="17"/>
      <c r="T105" s="17">
        <v>0</v>
      </c>
      <c r="U105" s="17">
        <v>2</v>
      </c>
      <c r="V105" s="17" t="s">
        <v>279</v>
      </c>
      <c r="W105" s="31">
        <v>6</v>
      </c>
      <c r="X105" s="17">
        <v>1002</v>
      </c>
      <c r="Y105" s="36" t="s">
        <v>610</v>
      </c>
      <c r="Z105" s="17" t="s">
        <v>611</v>
      </c>
      <c r="AA105" s="17" t="s">
        <v>612</v>
      </c>
      <c r="AB105" s="17" t="s">
        <v>613</v>
      </c>
      <c r="AC105" s="17" t="s">
        <v>103</v>
      </c>
      <c r="AD105" s="17" t="s">
        <v>393</v>
      </c>
      <c r="AE105" s="17" t="s">
        <v>133</v>
      </c>
      <c r="AF105" s="17" t="s">
        <v>87</v>
      </c>
      <c r="AG105" s="17" t="s">
        <v>88</v>
      </c>
      <c r="AH105" s="17" t="s">
        <v>533</v>
      </c>
      <c r="AI105" s="17">
        <v>0</v>
      </c>
      <c r="AJ105" s="17">
        <v>0</v>
      </c>
      <c r="AK105" s="17">
        <v>0.1</v>
      </c>
    </row>
    <row r="106" spans="2:37" ht="16.5" x14ac:dyDescent="0.2">
      <c r="B106" s="29">
        <v>22026</v>
      </c>
      <c r="C106" s="29" t="s">
        <v>614</v>
      </c>
      <c r="D106" s="28">
        <v>20</v>
      </c>
      <c r="E106" s="31">
        <f t="shared" si="1"/>
        <v>40.6</v>
      </c>
      <c r="F106" s="31">
        <v>0.4</v>
      </c>
      <c r="G106" s="28">
        <v>0</v>
      </c>
      <c r="H106" s="32">
        <v>110000</v>
      </c>
      <c r="I106" s="32">
        <v>1200</v>
      </c>
      <c r="J106" s="32">
        <v>99000</v>
      </c>
      <c r="K106" s="32">
        <v>1080</v>
      </c>
      <c r="L106" s="32">
        <v>2</v>
      </c>
      <c r="M106" s="32" t="s">
        <v>376</v>
      </c>
      <c r="N106" s="31" t="s">
        <v>376</v>
      </c>
      <c r="O106" s="34" t="s">
        <v>492</v>
      </c>
      <c r="P106" s="17">
        <v>70</v>
      </c>
      <c r="Q106" s="36">
        <v>250</v>
      </c>
      <c r="R106" s="36">
        <v>700</v>
      </c>
      <c r="S106" s="17"/>
      <c r="T106" s="17">
        <v>1</v>
      </c>
      <c r="U106" s="17">
        <v>2</v>
      </c>
      <c r="V106" s="17" t="s">
        <v>279</v>
      </c>
      <c r="W106" s="31">
        <v>6</v>
      </c>
      <c r="X106" s="17">
        <v>1002</v>
      </c>
      <c r="Y106" s="36" t="s">
        <v>605</v>
      </c>
      <c r="Z106" s="17" t="s">
        <v>606</v>
      </c>
      <c r="AA106" s="17" t="s">
        <v>607</v>
      </c>
      <c r="AB106" s="17" t="s">
        <v>608</v>
      </c>
      <c r="AC106" s="17" t="s">
        <v>103</v>
      </c>
      <c r="AD106" s="17" t="s">
        <v>393</v>
      </c>
      <c r="AE106" s="17" t="s">
        <v>211</v>
      </c>
      <c r="AF106" s="17" t="s">
        <v>87</v>
      </c>
      <c r="AG106" s="17" t="s">
        <v>88</v>
      </c>
      <c r="AH106" s="17" t="s">
        <v>533</v>
      </c>
      <c r="AI106" s="17">
        <v>0</v>
      </c>
      <c r="AJ106" s="17">
        <v>0</v>
      </c>
      <c r="AK106" s="17">
        <v>0.1</v>
      </c>
    </row>
    <row r="107" spans="2:37" ht="16.5" x14ac:dyDescent="0.2">
      <c r="B107" s="27">
        <v>23021</v>
      </c>
      <c r="C107" s="27" t="s">
        <v>615</v>
      </c>
      <c r="D107" s="28">
        <v>20</v>
      </c>
      <c r="E107" s="31">
        <f t="shared" si="1"/>
        <v>41.1</v>
      </c>
      <c r="F107" s="31">
        <v>0.4</v>
      </c>
      <c r="G107" s="28">
        <v>0</v>
      </c>
      <c r="H107" s="32">
        <v>75000</v>
      </c>
      <c r="I107" s="32">
        <v>1200</v>
      </c>
      <c r="J107" s="32">
        <v>67500</v>
      </c>
      <c r="K107" s="32">
        <v>1080</v>
      </c>
      <c r="L107" s="32">
        <v>3</v>
      </c>
      <c r="M107" s="32" t="s">
        <v>376</v>
      </c>
      <c r="N107" s="31" t="s">
        <v>376</v>
      </c>
      <c r="O107" s="34" t="s">
        <v>616</v>
      </c>
      <c r="P107" s="17">
        <v>56</v>
      </c>
      <c r="Q107" s="36">
        <v>200</v>
      </c>
      <c r="R107" s="17">
        <v>300</v>
      </c>
      <c r="S107" s="17"/>
      <c r="T107" s="17">
        <v>0</v>
      </c>
      <c r="U107" s="17">
        <v>3</v>
      </c>
      <c r="V107" s="17" t="s">
        <v>279</v>
      </c>
      <c r="W107" s="31">
        <v>5</v>
      </c>
      <c r="X107" s="17">
        <v>0</v>
      </c>
      <c r="Y107" s="36" t="s">
        <v>617</v>
      </c>
      <c r="Z107" s="17" t="s">
        <v>618</v>
      </c>
      <c r="AA107" s="17" t="s">
        <v>619</v>
      </c>
      <c r="AB107" s="17" t="s">
        <v>620</v>
      </c>
      <c r="AC107" s="17" t="s">
        <v>103</v>
      </c>
      <c r="AD107" s="17" t="s">
        <v>85</v>
      </c>
      <c r="AE107" s="17" t="s">
        <v>268</v>
      </c>
      <c r="AF107" s="17" t="s">
        <v>87</v>
      </c>
      <c r="AG107" s="17" t="s">
        <v>88</v>
      </c>
      <c r="AH107" s="17" t="s">
        <v>533</v>
      </c>
      <c r="AI107" s="17">
        <v>0</v>
      </c>
      <c r="AJ107" s="17">
        <v>0</v>
      </c>
      <c r="AK107" s="17">
        <v>0.05</v>
      </c>
    </row>
    <row r="108" spans="2:37" ht="16.5" x14ac:dyDescent="0.2">
      <c r="B108" s="27">
        <v>23031</v>
      </c>
      <c r="C108" s="27" t="s">
        <v>621</v>
      </c>
      <c r="D108" s="28">
        <v>20</v>
      </c>
      <c r="E108" s="31">
        <f t="shared" si="1"/>
        <v>43.5</v>
      </c>
      <c r="F108" s="31">
        <v>0.4</v>
      </c>
      <c r="G108" s="28">
        <v>0</v>
      </c>
      <c r="H108" s="32">
        <v>63000</v>
      </c>
      <c r="I108" s="32">
        <v>1600</v>
      </c>
      <c r="J108" s="32">
        <v>56700</v>
      </c>
      <c r="K108" s="32">
        <v>1440</v>
      </c>
      <c r="L108" s="32">
        <v>3</v>
      </c>
      <c r="M108" s="32" t="s">
        <v>376</v>
      </c>
      <c r="N108" s="31" t="s">
        <v>376</v>
      </c>
      <c r="O108" s="34" t="s">
        <v>405</v>
      </c>
      <c r="P108" s="17">
        <v>56</v>
      </c>
      <c r="Q108" s="36">
        <v>250</v>
      </c>
      <c r="R108" s="17">
        <v>600</v>
      </c>
      <c r="S108" s="17"/>
      <c r="T108" s="17">
        <v>1</v>
      </c>
      <c r="U108" s="17">
        <v>3</v>
      </c>
      <c r="V108" s="17" t="s">
        <v>411</v>
      </c>
      <c r="W108" s="31">
        <v>6</v>
      </c>
      <c r="X108" s="17">
        <v>1001</v>
      </c>
      <c r="Y108" s="36" t="s">
        <v>444</v>
      </c>
      <c r="Z108" s="17" t="s">
        <v>445</v>
      </c>
      <c r="AA108" s="17" t="s">
        <v>446</v>
      </c>
      <c r="AB108" s="17" t="s">
        <v>447</v>
      </c>
      <c r="AC108" s="17" t="s">
        <v>187</v>
      </c>
      <c r="AD108" s="17" t="s">
        <v>85</v>
      </c>
      <c r="AE108" s="17" t="s">
        <v>284</v>
      </c>
      <c r="AF108" s="17" t="s">
        <v>87</v>
      </c>
      <c r="AG108" s="17" t="s">
        <v>88</v>
      </c>
      <c r="AH108" s="17" t="s">
        <v>533</v>
      </c>
      <c r="AI108" s="17">
        <v>0</v>
      </c>
      <c r="AJ108" s="17">
        <v>0</v>
      </c>
      <c r="AK108" s="17">
        <v>0.1</v>
      </c>
    </row>
    <row r="109" spans="2:37" ht="16.5" x14ac:dyDescent="0.2">
      <c r="B109" s="29">
        <v>23041</v>
      </c>
      <c r="C109" s="29" t="s">
        <v>622</v>
      </c>
      <c r="D109" s="28">
        <v>20</v>
      </c>
      <c r="E109" s="31">
        <f t="shared" ref="E109:E121" si="2">ROUND(SQRT(H109*I109*L109)/400,1)</f>
        <v>62.7</v>
      </c>
      <c r="F109" s="31">
        <v>0.4</v>
      </c>
      <c r="G109" s="28">
        <v>0</v>
      </c>
      <c r="H109" s="32">
        <v>150000</v>
      </c>
      <c r="I109" s="32">
        <v>1400</v>
      </c>
      <c r="J109" s="32">
        <v>135000</v>
      </c>
      <c r="K109" s="32">
        <v>1260</v>
      </c>
      <c r="L109" s="32">
        <v>3</v>
      </c>
      <c r="M109" s="32" t="s">
        <v>376</v>
      </c>
      <c r="N109" s="31" t="s">
        <v>376</v>
      </c>
      <c r="O109" s="34" t="s">
        <v>492</v>
      </c>
      <c r="P109" s="17">
        <v>75</v>
      </c>
      <c r="Q109" s="36">
        <v>120</v>
      </c>
      <c r="R109" s="17">
        <v>300</v>
      </c>
      <c r="S109" s="17"/>
      <c r="T109" s="17">
        <v>0</v>
      </c>
      <c r="U109" s="17">
        <v>3</v>
      </c>
      <c r="V109" s="17" t="s">
        <v>98</v>
      </c>
      <c r="W109" s="31">
        <v>6</v>
      </c>
      <c r="X109" s="17">
        <v>0</v>
      </c>
      <c r="Y109" s="36" t="s">
        <v>623</v>
      </c>
      <c r="Z109" s="17" t="s">
        <v>624</v>
      </c>
      <c r="AA109" s="17" t="s">
        <v>625</v>
      </c>
      <c r="AB109" s="17" t="s">
        <v>626</v>
      </c>
      <c r="AC109" s="17" t="s">
        <v>103</v>
      </c>
      <c r="AD109" s="17" t="s">
        <v>85</v>
      </c>
      <c r="AE109" s="17" t="s">
        <v>133</v>
      </c>
      <c r="AF109" s="17" t="s">
        <v>87</v>
      </c>
      <c r="AG109" s="17" t="s">
        <v>88</v>
      </c>
      <c r="AH109" s="17" t="s">
        <v>533</v>
      </c>
      <c r="AI109" s="17">
        <v>0</v>
      </c>
      <c r="AJ109" s="17">
        <v>0</v>
      </c>
      <c r="AK109" s="17">
        <v>0.1</v>
      </c>
    </row>
    <row r="110" spans="2:37" ht="16.5" x14ac:dyDescent="0.2">
      <c r="B110" s="29">
        <v>23042</v>
      </c>
      <c r="C110" s="29" t="s">
        <v>627</v>
      </c>
      <c r="D110" s="28">
        <v>20</v>
      </c>
      <c r="E110" s="31">
        <f t="shared" si="2"/>
        <v>45</v>
      </c>
      <c r="F110" s="31">
        <v>0.4</v>
      </c>
      <c r="G110" s="28">
        <v>0</v>
      </c>
      <c r="H110" s="32">
        <v>90000</v>
      </c>
      <c r="I110" s="32">
        <v>1800</v>
      </c>
      <c r="J110" s="32">
        <v>81000</v>
      </c>
      <c r="K110" s="32">
        <v>1620</v>
      </c>
      <c r="L110" s="32">
        <v>2</v>
      </c>
      <c r="M110" s="32" t="s">
        <v>376</v>
      </c>
      <c r="N110" s="31" t="s">
        <v>376</v>
      </c>
      <c r="O110" s="34" t="s">
        <v>492</v>
      </c>
      <c r="P110" s="17">
        <v>70</v>
      </c>
      <c r="Q110" s="36">
        <v>250</v>
      </c>
      <c r="R110" s="17">
        <v>450</v>
      </c>
      <c r="S110" s="17"/>
      <c r="T110" s="17">
        <v>1</v>
      </c>
      <c r="U110" s="17">
        <v>3</v>
      </c>
      <c r="V110" s="17" t="s">
        <v>98</v>
      </c>
      <c r="W110" s="31">
        <v>6</v>
      </c>
      <c r="X110" s="17">
        <v>0</v>
      </c>
      <c r="Y110" s="36" t="s">
        <v>628</v>
      </c>
      <c r="Z110" s="17" t="s">
        <v>629</v>
      </c>
      <c r="AA110" s="17" t="s">
        <v>630</v>
      </c>
      <c r="AB110" s="17" t="s">
        <v>631</v>
      </c>
      <c r="AC110" s="17" t="s">
        <v>103</v>
      </c>
      <c r="AD110" s="17" t="s">
        <v>85</v>
      </c>
      <c r="AE110" s="17" t="s">
        <v>211</v>
      </c>
      <c r="AF110" s="17" t="s">
        <v>87</v>
      </c>
      <c r="AG110" s="17" t="s">
        <v>88</v>
      </c>
      <c r="AH110" s="17" t="s">
        <v>533</v>
      </c>
      <c r="AI110" s="17">
        <v>0</v>
      </c>
      <c r="AJ110" s="17">
        <v>0</v>
      </c>
      <c r="AK110" s="17">
        <v>0.1</v>
      </c>
    </row>
    <row r="111" spans="2:37" ht="16.5" x14ac:dyDescent="0.2">
      <c r="B111" s="29">
        <v>23043</v>
      </c>
      <c r="C111" s="29" t="s">
        <v>632</v>
      </c>
      <c r="D111" s="28">
        <v>20</v>
      </c>
      <c r="E111" s="31">
        <f t="shared" si="2"/>
        <v>56.6</v>
      </c>
      <c r="F111" s="31">
        <v>0.4</v>
      </c>
      <c r="G111" s="28">
        <v>0</v>
      </c>
      <c r="H111" s="32">
        <v>160000</v>
      </c>
      <c r="I111" s="32">
        <v>1600</v>
      </c>
      <c r="J111" s="32">
        <v>144000</v>
      </c>
      <c r="K111" s="32">
        <v>1440</v>
      </c>
      <c r="L111" s="32">
        <v>2</v>
      </c>
      <c r="M111" s="32" t="s">
        <v>376</v>
      </c>
      <c r="N111" s="31" t="s">
        <v>376</v>
      </c>
      <c r="O111" s="34" t="s">
        <v>492</v>
      </c>
      <c r="P111" s="17">
        <v>75</v>
      </c>
      <c r="Q111" s="36">
        <v>130</v>
      </c>
      <c r="R111" s="17">
        <v>300</v>
      </c>
      <c r="S111" s="17"/>
      <c r="T111" s="17">
        <v>0</v>
      </c>
      <c r="U111" s="17">
        <v>3</v>
      </c>
      <c r="V111" s="17" t="s">
        <v>98</v>
      </c>
      <c r="W111" s="31">
        <v>6</v>
      </c>
      <c r="X111" s="17">
        <v>0</v>
      </c>
      <c r="Y111" s="36" t="s">
        <v>633</v>
      </c>
      <c r="Z111" s="17" t="s">
        <v>634</v>
      </c>
      <c r="AA111" s="17" t="s">
        <v>635</v>
      </c>
      <c r="AB111" s="17" t="s">
        <v>636</v>
      </c>
      <c r="AC111" s="17" t="s">
        <v>103</v>
      </c>
      <c r="AD111" s="17" t="s">
        <v>85</v>
      </c>
      <c r="AE111" s="17" t="s">
        <v>133</v>
      </c>
      <c r="AF111" s="17" t="s">
        <v>87</v>
      </c>
      <c r="AG111" s="17" t="s">
        <v>88</v>
      </c>
      <c r="AH111" s="17" t="s">
        <v>533</v>
      </c>
      <c r="AI111" s="17">
        <v>0</v>
      </c>
      <c r="AJ111" s="17">
        <v>0</v>
      </c>
      <c r="AK111" s="17">
        <v>0.1</v>
      </c>
    </row>
    <row r="112" spans="2:37" ht="16.5" x14ac:dyDescent="0.2">
      <c r="B112" s="29">
        <v>23044</v>
      </c>
      <c r="C112" s="29" t="s">
        <v>637</v>
      </c>
      <c r="D112" s="28">
        <v>20</v>
      </c>
      <c r="E112" s="31">
        <f t="shared" si="2"/>
        <v>45.4</v>
      </c>
      <c r="F112" s="31">
        <v>0.4</v>
      </c>
      <c r="G112" s="28">
        <v>0</v>
      </c>
      <c r="H112" s="32">
        <v>110000</v>
      </c>
      <c r="I112" s="32">
        <v>1500</v>
      </c>
      <c r="J112" s="32">
        <v>99000</v>
      </c>
      <c r="K112" s="32">
        <v>1350</v>
      </c>
      <c r="L112" s="32">
        <v>2</v>
      </c>
      <c r="M112" s="32" t="s">
        <v>376</v>
      </c>
      <c r="N112" s="31" t="s">
        <v>376</v>
      </c>
      <c r="O112" s="34" t="s">
        <v>492</v>
      </c>
      <c r="P112" s="17">
        <v>70</v>
      </c>
      <c r="Q112" s="36">
        <v>400</v>
      </c>
      <c r="R112" s="17">
        <v>450</v>
      </c>
      <c r="S112" s="17"/>
      <c r="T112" s="17">
        <v>1</v>
      </c>
      <c r="U112" s="17">
        <v>3</v>
      </c>
      <c r="V112" s="17" t="s">
        <v>98</v>
      </c>
      <c r="W112" s="31">
        <v>6</v>
      </c>
      <c r="X112" s="17">
        <v>0</v>
      </c>
      <c r="Y112" s="36" t="s">
        <v>628</v>
      </c>
      <c r="Z112" s="17" t="s">
        <v>629</v>
      </c>
      <c r="AA112" s="17" t="s">
        <v>630</v>
      </c>
      <c r="AB112" s="17" t="s">
        <v>631</v>
      </c>
      <c r="AC112" s="17" t="s">
        <v>103</v>
      </c>
      <c r="AD112" s="17" t="s">
        <v>85</v>
      </c>
      <c r="AE112" s="17" t="s">
        <v>211</v>
      </c>
      <c r="AF112" s="17" t="s">
        <v>87</v>
      </c>
      <c r="AG112" s="17" t="s">
        <v>88</v>
      </c>
      <c r="AH112" s="17" t="s">
        <v>533</v>
      </c>
      <c r="AI112" s="17">
        <v>0</v>
      </c>
      <c r="AJ112" s="17">
        <v>0</v>
      </c>
      <c r="AK112" s="17">
        <v>0.1</v>
      </c>
    </row>
    <row r="113" spans="2:37" ht="16.5" x14ac:dyDescent="0.2">
      <c r="B113" s="27">
        <v>24002</v>
      </c>
      <c r="C113" s="27" t="s">
        <v>638</v>
      </c>
      <c r="D113" s="28">
        <v>20</v>
      </c>
      <c r="E113" s="31">
        <f t="shared" si="2"/>
        <v>44.2</v>
      </c>
      <c r="F113" s="31">
        <v>0.4</v>
      </c>
      <c r="G113" s="28">
        <v>0</v>
      </c>
      <c r="H113" s="32">
        <v>130000</v>
      </c>
      <c r="I113" s="32">
        <v>2400</v>
      </c>
      <c r="J113" s="32">
        <v>117000</v>
      </c>
      <c r="K113" s="32">
        <v>2160</v>
      </c>
      <c r="L113" s="32">
        <v>1</v>
      </c>
      <c r="M113" s="32" t="s">
        <v>376</v>
      </c>
      <c r="N113" s="31" t="s">
        <v>376</v>
      </c>
      <c r="O113" s="34" t="s">
        <v>405</v>
      </c>
      <c r="P113" s="17">
        <v>96</v>
      </c>
      <c r="Q113" s="36">
        <v>100</v>
      </c>
      <c r="R113" s="17">
        <v>300</v>
      </c>
      <c r="S113" s="17" t="s">
        <v>455</v>
      </c>
      <c r="T113" s="17">
        <v>0</v>
      </c>
      <c r="U113" s="17">
        <v>4</v>
      </c>
      <c r="V113" s="17"/>
      <c r="W113" s="31">
        <v>6</v>
      </c>
      <c r="X113" s="17">
        <v>0</v>
      </c>
      <c r="Y113" s="36" t="s">
        <v>456</v>
      </c>
      <c r="Z113" s="17" t="s">
        <v>457</v>
      </c>
      <c r="AA113" s="17" t="s">
        <v>458</v>
      </c>
      <c r="AB113" s="17" t="s">
        <v>459</v>
      </c>
      <c r="AC113" s="17" t="s">
        <v>84</v>
      </c>
      <c r="AD113" s="17" t="s">
        <v>85</v>
      </c>
      <c r="AE113" s="17" t="s">
        <v>86</v>
      </c>
      <c r="AF113" s="17" t="s">
        <v>87</v>
      </c>
      <c r="AG113" s="17" t="s">
        <v>88</v>
      </c>
      <c r="AH113" s="17" t="s">
        <v>533</v>
      </c>
      <c r="AI113" s="17">
        <v>0</v>
      </c>
      <c r="AJ113" s="17">
        <v>0</v>
      </c>
      <c r="AK113" s="17">
        <v>0.1</v>
      </c>
    </row>
    <row r="114" spans="2:37" ht="16.5" x14ac:dyDescent="0.2">
      <c r="B114" s="27">
        <v>24011</v>
      </c>
      <c r="C114" s="27" t="s">
        <v>639</v>
      </c>
      <c r="D114" s="28">
        <v>20</v>
      </c>
      <c r="E114" s="31">
        <f t="shared" si="2"/>
        <v>49.3</v>
      </c>
      <c r="F114" s="31">
        <v>0.4</v>
      </c>
      <c r="G114" s="28">
        <v>0</v>
      </c>
      <c r="H114" s="32">
        <v>72000</v>
      </c>
      <c r="I114" s="32">
        <v>1800</v>
      </c>
      <c r="J114" s="32">
        <v>64800</v>
      </c>
      <c r="K114" s="32">
        <v>1620</v>
      </c>
      <c r="L114" s="32">
        <v>3</v>
      </c>
      <c r="M114" s="32" t="s">
        <v>376</v>
      </c>
      <c r="N114" s="31" t="s">
        <v>376</v>
      </c>
      <c r="O114" s="34" t="s">
        <v>449</v>
      </c>
      <c r="P114" s="17">
        <v>47</v>
      </c>
      <c r="Q114" s="36">
        <v>260</v>
      </c>
      <c r="R114" s="17">
        <v>600</v>
      </c>
      <c r="S114" s="17"/>
      <c r="T114" s="17">
        <v>1</v>
      </c>
      <c r="U114" s="17">
        <v>4</v>
      </c>
      <c r="V114" s="17" t="s">
        <v>279</v>
      </c>
      <c r="W114" s="31">
        <v>5</v>
      </c>
      <c r="X114" s="17">
        <v>1001</v>
      </c>
      <c r="Y114" s="36" t="s">
        <v>640</v>
      </c>
      <c r="Z114" s="17" t="s">
        <v>641</v>
      </c>
      <c r="AA114" s="17" t="s">
        <v>642</v>
      </c>
      <c r="AB114" s="17" t="s">
        <v>643</v>
      </c>
      <c r="AC114" s="17" t="s">
        <v>103</v>
      </c>
      <c r="AD114" s="17" t="s">
        <v>85</v>
      </c>
      <c r="AE114" s="17" t="s">
        <v>338</v>
      </c>
      <c r="AF114" s="17" t="s">
        <v>87</v>
      </c>
      <c r="AG114" s="17" t="s">
        <v>88</v>
      </c>
      <c r="AH114" s="17" t="s">
        <v>533</v>
      </c>
      <c r="AI114" s="17">
        <v>0</v>
      </c>
      <c r="AJ114" s="17">
        <v>0</v>
      </c>
      <c r="AK114" s="17">
        <v>0.1</v>
      </c>
    </row>
    <row r="115" spans="2:37" ht="16.5" x14ac:dyDescent="0.2">
      <c r="B115" s="29">
        <v>24021</v>
      </c>
      <c r="C115" s="29" t="s">
        <v>644</v>
      </c>
      <c r="D115" s="28">
        <v>20</v>
      </c>
      <c r="E115" s="31">
        <f t="shared" si="2"/>
        <v>56.6</v>
      </c>
      <c r="F115" s="31">
        <v>0.4</v>
      </c>
      <c r="G115" s="28">
        <v>0</v>
      </c>
      <c r="H115" s="32">
        <v>160000</v>
      </c>
      <c r="I115" s="32">
        <v>1600</v>
      </c>
      <c r="J115" s="32">
        <v>144000</v>
      </c>
      <c r="K115" s="32">
        <v>1440</v>
      </c>
      <c r="L115" s="32">
        <v>2</v>
      </c>
      <c r="M115" s="32" t="s">
        <v>376</v>
      </c>
      <c r="N115" s="31" t="s">
        <v>376</v>
      </c>
      <c r="O115" s="34" t="s">
        <v>492</v>
      </c>
      <c r="P115" s="17">
        <v>75</v>
      </c>
      <c r="Q115" s="36">
        <v>140</v>
      </c>
      <c r="R115" s="17">
        <v>600</v>
      </c>
      <c r="S115" s="17"/>
      <c r="T115" s="17">
        <v>0</v>
      </c>
      <c r="U115" s="17">
        <v>4</v>
      </c>
      <c r="V115" s="17"/>
      <c r="W115" s="31">
        <v>6</v>
      </c>
      <c r="X115" s="17">
        <v>0</v>
      </c>
      <c r="Y115" s="36" t="s">
        <v>645</v>
      </c>
      <c r="Z115" s="17" t="s">
        <v>646</v>
      </c>
      <c r="AA115" s="17" t="s">
        <v>647</v>
      </c>
      <c r="AB115" s="17" t="s">
        <v>648</v>
      </c>
      <c r="AC115" s="17" t="s">
        <v>103</v>
      </c>
      <c r="AD115" s="17" t="s">
        <v>393</v>
      </c>
      <c r="AE115" s="17" t="s">
        <v>164</v>
      </c>
      <c r="AF115" s="17" t="s">
        <v>87</v>
      </c>
      <c r="AG115" s="17" t="s">
        <v>88</v>
      </c>
      <c r="AH115" s="17" t="s">
        <v>533</v>
      </c>
      <c r="AI115" s="17">
        <v>0</v>
      </c>
      <c r="AJ115" s="17">
        <v>0</v>
      </c>
      <c r="AK115" s="17">
        <v>0.1</v>
      </c>
    </row>
    <row r="116" spans="2:37" ht="16.5" x14ac:dyDescent="0.2">
      <c r="B116" s="29">
        <v>24022</v>
      </c>
      <c r="C116" s="29" t="s">
        <v>649</v>
      </c>
      <c r="D116" s="28">
        <v>20</v>
      </c>
      <c r="E116" s="31">
        <f t="shared" si="2"/>
        <v>43.7</v>
      </c>
      <c r="F116" s="31">
        <v>0.4</v>
      </c>
      <c r="G116" s="28">
        <v>0</v>
      </c>
      <c r="H116" s="32">
        <v>85000</v>
      </c>
      <c r="I116" s="32">
        <v>1800</v>
      </c>
      <c r="J116" s="32">
        <v>76500</v>
      </c>
      <c r="K116" s="32">
        <v>1620</v>
      </c>
      <c r="L116" s="32">
        <v>2</v>
      </c>
      <c r="M116" s="32" t="s">
        <v>376</v>
      </c>
      <c r="N116" s="31" t="s">
        <v>376</v>
      </c>
      <c r="O116" s="34" t="s">
        <v>492</v>
      </c>
      <c r="P116" s="17">
        <v>70</v>
      </c>
      <c r="Q116" s="36">
        <v>220</v>
      </c>
      <c r="R116" s="17">
        <v>490</v>
      </c>
      <c r="S116" s="17"/>
      <c r="T116" s="17">
        <v>1</v>
      </c>
      <c r="U116" s="17">
        <v>4</v>
      </c>
      <c r="V116" s="17" t="s">
        <v>98</v>
      </c>
      <c r="W116" s="31">
        <v>6</v>
      </c>
      <c r="X116" s="17">
        <v>0</v>
      </c>
      <c r="Y116" s="36" t="s">
        <v>650</v>
      </c>
      <c r="Z116" s="17" t="s">
        <v>651</v>
      </c>
      <c r="AA116" s="17" t="s">
        <v>652</v>
      </c>
      <c r="AB116" s="17" t="s">
        <v>653</v>
      </c>
      <c r="AC116" s="17" t="s">
        <v>103</v>
      </c>
      <c r="AD116" s="17" t="s">
        <v>85</v>
      </c>
      <c r="AE116" s="17" t="s">
        <v>338</v>
      </c>
      <c r="AF116" s="17" t="s">
        <v>87</v>
      </c>
      <c r="AG116" s="17" t="s">
        <v>88</v>
      </c>
      <c r="AH116" s="17" t="s">
        <v>533</v>
      </c>
      <c r="AI116" s="17">
        <v>0</v>
      </c>
      <c r="AJ116" s="17">
        <v>0</v>
      </c>
      <c r="AK116" s="17">
        <v>0.1</v>
      </c>
    </row>
    <row r="117" spans="2:37" ht="16.5" x14ac:dyDescent="0.2">
      <c r="B117" s="29">
        <v>24023</v>
      </c>
      <c r="C117" s="29" t="s">
        <v>654</v>
      </c>
      <c r="D117" s="28">
        <v>20</v>
      </c>
      <c r="E117" s="31">
        <f t="shared" si="2"/>
        <v>40.6</v>
      </c>
      <c r="F117" s="31">
        <v>0.4</v>
      </c>
      <c r="G117" s="28">
        <v>0</v>
      </c>
      <c r="H117" s="32">
        <v>110000</v>
      </c>
      <c r="I117" s="32">
        <v>1200</v>
      </c>
      <c r="J117" s="32">
        <v>99000</v>
      </c>
      <c r="K117" s="32">
        <v>1080</v>
      </c>
      <c r="L117" s="31">
        <v>2</v>
      </c>
      <c r="M117" s="31" t="s">
        <v>376</v>
      </c>
      <c r="N117" s="31" t="s">
        <v>376</v>
      </c>
      <c r="O117" s="34" t="s">
        <v>492</v>
      </c>
      <c r="P117" s="17">
        <v>70</v>
      </c>
      <c r="Q117" s="36">
        <v>400</v>
      </c>
      <c r="R117" s="17">
        <v>890</v>
      </c>
      <c r="S117" s="17"/>
      <c r="T117" s="17">
        <v>1</v>
      </c>
      <c r="U117" s="17">
        <v>4</v>
      </c>
      <c r="V117" s="17" t="s">
        <v>98</v>
      </c>
      <c r="W117" s="31">
        <v>6</v>
      </c>
      <c r="X117" s="17">
        <v>0</v>
      </c>
      <c r="Y117" s="36" t="s">
        <v>655</v>
      </c>
      <c r="Z117" s="17" t="s">
        <v>656</v>
      </c>
      <c r="AA117" s="17" t="s">
        <v>657</v>
      </c>
      <c r="AB117" s="17" t="s">
        <v>658</v>
      </c>
      <c r="AC117" s="17" t="s">
        <v>103</v>
      </c>
      <c r="AD117" s="17" t="s">
        <v>85</v>
      </c>
      <c r="AE117" s="17" t="s">
        <v>359</v>
      </c>
      <c r="AF117" s="17" t="s">
        <v>87</v>
      </c>
      <c r="AG117" s="17" t="s">
        <v>88</v>
      </c>
      <c r="AH117" s="17" t="s">
        <v>533</v>
      </c>
      <c r="AI117" s="17">
        <v>0</v>
      </c>
      <c r="AJ117" s="17">
        <v>0</v>
      </c>
      <c r="AK117" s="17">
        <v>0.1</v>
      </c>
    </row>
    <row r="118" spans="2:37" ht="16.5" x14ac:dyDescent="0.2">
      <c r="B118" s="29">
        <v>24024</v>
      </c>
      <c r="C118" s="29" t="s">
        <v>659</v>
      </c>
      <c r="D118" s="28">
        <v>20</v>
      </c>
      <c r="E118" s="31">
        <f t="shared" si="2"/>
        <v>52</v>
      </c>
      <c r="F118" s="31">
        <v>0.4</v>
      </c>
      <c r="G118" s="28">
        <v>0</v>
      </c>
      <c r="H118" s="32">
        <v>90000</v>
      </c>
      <c r="I118" s="32">
        <v>2400</v>
      </c>
      <c r="J118" s="32">
        <v>81000</v>
      </c>
      <c r="K118" s="32">
        <v>2160</v>
      </c>
      <c r="L118" s="31">
        <v>2</v>
      </c>
      <c r="M118" s="31" t="s">
        <v>376</v>
      </c>
      <c r="N118" s="31" t="s">
        <v>376</v>
      </c>
      <c r="O118" s="34" t="s">
        <v>492</v>
      </c>
      <c r="P118" s="17">
        <v>80</v>
      </c>
      <c r="Q118" s="36">
        <v>250</v>
      </c>
      <c r="R118" s="17">
        <v>450</v>
      </c>
      <c r="S118" s="17"/>
      <c r="T118" s="17">
        <v>1</v>
      </c>
      <c r="U118" s="17">
        <v>4</v>
      </c>
      <c r="V118" s="17" t="s">
        <v>98</v>
      </c>
      <c r="W118" s="31">
        <v>6</v>
      </c>
      <c r="X118" s="17">
        <v>0</v>
      </c>
      <c r="Y118" s="36" t="s">
        <v>660</v>
      </c>
      <c r="Z118" s="17" t="s">
        <v>661</v>
      </c>
      <c r="AA118" s="17" t="s">
        <v>662</v>
      </c>
      <c r="AB118" s="17" t="s">
        <v>663</v>
      </c>
      <c r="AC118" s="17" t="s">
        <v>103</v>
      </c>
      <c r="AD118" s="17" t="s">
        <v>85</v>
      </c>
      <c r="AE118" s="17" t="s">
        <v>338</v>
      </c>
      <c r="AF118" s="17" t="s">
        <v>87</v>
      </c>
      <c r="AG118" s="17" t="s">
        <v>88</v>
      </c>
      <c r="AH118" s="17" t="s">
        <v>533</v>
      </c>
      <c r="AI118" s="17">
        <v>0</v>
      </c>
      <c r="AJ118" s="17">
        <v>0</v>
      </c>
      <c r="AK118" s="17">
        <v>0.1</v>
      </c>
    </row>
    <row r="119" spans="2:37" ht="16.5" x14ac:dyDescent="0.2">
      <c r="B119" s="29">
        <v>31021</v>
      </c>
      <c r="C119" s="29" t="s">
        <v>664</v>
      </c>
      <c r="D119" s="28">
        <v>21</v>
      </c>
      <c r="E119" s="31">
        <f t="shared" si="2"/>
        <v>0.2</v>
      </c>
      <c r="F119" s="31">
        <v>0.4</v>
      </c>
      <c r="G119" s="28">
        <v>0</v>
      </c>
      <c r="H119" s="32">
        <v>100</v>
      </c>
      <c r="I119" s="32">
        <v>20</v>
      </c>
      <c r="J119" s="32">
        <v>90</v>
      </c>
      <c r="K119" s="32">
        <v>18</v>
      </c>
      <c r="L119" s="31">
        <v>2</v>
      </c>
      <c r="M119" s="31" t="s">
        <v>376</v>
      </c>
      <c r="N119" s="31" t="s">
        <v>376</v>
      </c>
      <c r="O119" s="34" t="s">
        <v>492</v>
      </c>
      <c r="P119" s="17">
        <v>70</v>
      </c>
      <c r="Q119" s="36">
        <v>630</v>
      </c>
      <c r="R119" s="17">
        <v>675</v>
      </c>
      <c r="S119" s="17"/>
      <c r="T119" s="17">
        <v>1</v>
      </c>
      <c r="U119" s="17">
        <v>3</v>
      </c>
      <c r="V119" s="17" t="s">
        <v>279</v>
      </c>
      <c r="W119" s="31">
        <v>6</v>
      </c>
      <c r="X119" s="17">
        <v>1002</v>
      </c>
      <c r="Y119" s="36" t="s">
        <v>665</v>
      </c>
      <c r="Z119" s="17" t="s">
        <v>666</v>
      </c>
      <c r="AA119" s="17" t="s">
        <v>667</v>
      </c>
      <c r="AB119" s="17" t="s">
        <v>668</v>
      </c>
      <c r="AC119" s="17" t="s">
        <v>103</v>
      </c>
      <c r="AD119" s="17" t="s">
        <v>393</v>
      </c>
      <c r="AE119" s="17" t="s">
        <v>98</v>
      </c>
      <c r="AF119" s="17" t="s">
        <v>87</v>
      </c>
      <c r="AG119" s="17" t="s">
        <v>88</v>
      </c>
      <c r="AH119" s="17" t="s">
        <v>669</v>
      </c>
      <c r="AI119" s="17">
        <v>0</v>
      </c>
      <c r="AJ119" s="17">
        <v>0</v>
      </c>
      <c r="AK119" s="17">
        <v>0</v>
      </c>
    </row>
    <row r="120" spans="2:37" ht="16.5" x14ac:dyDescent="0.2">
      <c r="B120" s="29">
        <v>32021</v>
      </c>
      <c r="C120" s="29" t="s">
        <v>670</v>
      </c>
      <c r="D120" s="28">
        <v>21</v>
      </c>
      <c r="E120" s="31">
        <f t="shared" si="2"/>
        <v>0.2</v>
      </c>
      <c r="F120" s="31">
        <v>0.4</v>
      </c>
      <c r="G120" s="28">
        <v>0</v>
      </c>
      <c r="H120" s="32">
        <v>100</v>
      </c>
      <c r="I120" s="32">
        <v>20</v>
      </c>
      <c r="J120" s="31">
        <v>90</v>
      </c>
      <c r="K120" s="31">
        <v>18</v>
      </c>
      <c r="L120" s="31">
        <v>2</v>
      </c>
      <c r="M120" s="31" t="s">
        <v>376</v>
      </c>
      <c r="N120" s="31" t="s">
        <v>376</v>
      </c>
      <c r="O120" s="34" t="s">
        <v>492</v>
      </c>
      <c r="P120" s="17">
        <v>70</v>
      </c>
      <c r="Q120" s="36">
        <v>350</v>
      </c>
      <c r="R120" s="17">
        <v>375</v>
      </c>
      <c r="S120" s="17"/>
      <c r="T120" s="17">
        <v>1</v>
      </c>
      <c r="U120" s="17">
        <v>2</v>
      </c>
      <c r="V120" s="17" t="s">
        <v>279</v>
      </c>
      <c r="W120" s="31">
        <v>6</v>
      </c>
      <c r="X120" s="17">
        <v>1002</v>
      </c>
      <c r="Y120" s="36" t="s">
        <v>671</v>
      </c>
      <c r="Z120" s="17" t="s">
        <v>672</v>
      </c>
      <c r="AA120" s="17" t="s">
        <v>673</v>
      </c>
      <c r="AB120" s="17" t="s">
        <v>674</v>
      </c>
      <c r="AC120" s="17" t="s">
        <v>103</v>
      </c>
      <c r="AD120" s="17" t="s">
        <v>393</v>
      </c>
      <c r="AE120" s="17" t="s">
        <v>359</v>
      </c>
      <c r="AF120" s="17" t="s">
        <v>87</v>
      </c>
      <c r="AG120" s="17" t="s">
        <v>88</v>
      </c>
      <c r="AH120" s="17" t="s">
        <v>669</v>
      </c>
      <c r="AI120" s="17">
        <v>0</v>
      </c>
      <c r="AJ120" s="17">
        <v>0</v>
      </c>
      <c r="AK120" s="17">
        <v>0</v>
      </c>
    </row>
    <row r="121" spans="2:37" ht="16.5" x14ac:dyDescent="0.2">
      <c r="B121" s="29">
        <v>50001</v>
      </c>
      <c r="C121" s="29" t="s">
        <v>675</v>
      </c>
      <c r="D121" s="28">
        <v>21</v>
      </c>
      <c r="E121" s="31">
        <f t="shared" si="2"/>
        <v>0.2</v>
      </c>
      <c r="F121" s="31">
        <v>0.4</v>
      </c>
      <c r="G121" s="28">
        <v>0</v>
      </c>
      <c r="H121" s="32">
        <v>100</v>
      </c>
      <c r="I121" s="32">
        <v>20</v>
      </c>
      <c r="J121" s="31">
        <v>90</v>
      </c>
      <c r="K121" s="31">
        <v>18</v>
      </c>
      <c r="L121" s="31">
        <v>2</v>
      </c>
      <c r="M121" s="32" t="s">
        <v>77</v>
      </c>
      <c r="N121" s="32" t="s">
        <v>676</v>
      </c>
      <c r="O121" s="34" t="s">
        <v>97</v>
      </c>
      <c r="P121" s="17">
        <v>80</v>
      </c>
      <c r="Q121" s="36">
        <v>320</v>
      </c>
      <c r="R121" s="17">
        <v>600</v>
      </c>
      <c r="S121" s="17"/>
      <c r="T121" s="17">
        <v>0</v>
      </c>
      <c r="U121" s="17">
        <v>2</v>
      </c>
      <c r="V121" s="17"/>
      <c r="W121" s="31">
        <v>6</v>
      </c>
      <c r="X121" s="17">
        <v>0</v>
      </c>
      <c r="Y121" s="36" t="s">
        <v>677</v>
      </c>
      <c r="Z121" s="17" t="s">
        <v>678</v>
      </c>
      <c r="AA121" s="17" t="s">
        <v>679</v>
      </c>
      <c r="AB121" s="17" t="s">
        <v>680</v>
      </c>
      <c r="AC121" s="17" t="s">
        <v>103</v>
      </c>
      <c r="AD121" s="17" t="s">
        <v>393</v>
      </c>
      <c r="AE121" s="17" t="s">
        <v>133</v>
      </c>
      <c r="AF121" s="17" t="s">
        <v>87</v>
      </c>
      <c r="AG121" s="17" t="s">
        <v>88</v>
      </c>
      <c r="AH121" s="17" t="s">
        <v>669</v>
      </c>
      <c r="AI121" s="17">
        <v>0</v>
      </c>
      <c r="AJ121" s="17">
        <v>0</v>
      </c>
      <c r="AK121" s="17">
        <v>0</v>
      </c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ArmyTable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Admin</cp:lastModifiedBy>
  <dcterms:created xsi:type="dcterms:W3CDTF">2015-06-12T02:19:00Z</dcterms:created>
  <dcterms:modified xsi:type="dcterms:W3CDTF">2026-05-06T08:01:53Z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2052-7.5.1.8994</vt:lpwstr>
  </property>
  <property fmtid="{D5CDD505-2E9C-101B-9397-08002B2CF9AE}" pid="3" name="ICV">
    <vt:lpwstr>8296B5B885954323980B06EB075A48A8_13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